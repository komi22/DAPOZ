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yuns\Desktop\"/>
    </mc:Choice>
  </mc:AlternateContent>
  <xr:revisionPtr revIDLastSave="0" documentId="13_ncr:1_{18074F3D-AD24-4D3F-A1C2-EBD12001C744}" xr6:coauthVersionLast="47" xr6:coauthVersionMax="47" xr10:uidLastSave="{00000000-0000-0000-0000-000000000000}"/>
  <bookViews>
    <workbookView xWindow="-110" yWindow="-110" windowWidth="25820" windowHeight="15500" firstSheet="1" activeTab="8" xr2:uid="{00000000-000D-0000-FFFF-FFFF00000000}"/>
  </bookViews>
  <sheets>
    <sheet name="Checklist" sheetId="1" r:id="rId1"/>
    <sheet name="SubFunctionSummary" sheetId="2" r:id="rId2"/>
    <sheet name="FunctionSummary" sheetId="3" r:id="rId3"/>
    <sheet name="PillarSummary" sheetId="4" r:id="rId4"/>
    <sheet name="AssetStart" sheetId="5" r:id="rId5"/>
    <sheet name="Asset" sheetId="6" r:id="rId6"/>
    <sheet name="Asset (2)" sheetId="7" r:id="rId7"/>
    <sheet name="AssetEnd" sheetId="8" r:id="rId8"/>
    <sheet name="Final"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B1" i="8"/>
  <c r="G4" i="7" l="1"/>
  <c r="I4" i="7" s="1"/>
  <c r="G5" i="7"/>
  <c r="I5" i="7"/>
  <c r="G6" i="7"/>
  <c r="I6" i="7" s="1"/>
  <c r="G7" i="7"/>
  <c r="I7" i="7" s="1"/>
  <c r="G8" i="7"/>
  <c r="I8" i="7" s="1"/>
  <c r="G9" i="7"/>
  <c r="I9" i="7"/>
  <c r="G10" i="7"/>
  <c r="I10" i="7" s="1"/>
  <c r="G11" i="7"/>
  <c r="I11" i="7" s="1"/>
  <c r="G12" i="7"/>
  <c r="I12" i="7" s="1"/>
  <c r="G13" i="7"/>
  <c r="I13" i="7"/>
  <c r="G14" i="7"/>
  <c r="I14" i="7" s="1"/>
  <c r="G15" i="7"/>
  <c r="I15" i="7" s="1"/>
  <c r="G16" i="7"/>
  <c r="I16" i="7" s="1"/>
  <c r="G17" i="7"/>
  <c r="I17" i="7"/>
  <c r="G18" i="7"/>
  <c r="I18" i="7" s="1"/>
  <c r="G19" i="7"/>
  <c r="I19" i="7" s="1"/>
  <c r="G20" i="7"/>
  <c r="I20" i="7" s="1"/>
  <c r="G21" i="7"/>
  <c r="I21" i="7"/>
  <c r="G22" i="7"/>
  <c r="I22" i="7" s="1"/>
  <c r="G23" i="7"/>
  <c r="I23" i="7" s="1"/>
  <c r="G24" i="7"/>
  <c r="I24" i="7" s="1"/>
  <c r="G25" i="7"/>
  <c r="I25" i="7"/>
  <c r="G26" i="7"/>
  <c r="I26" i="7" s="1"/>
  <c r="G27" i="7"/>
  <c r="I27" i="7" s="1"/>
  <c r="G28" i="7"/>
  <c r="I28" i="7" s="1"/>
  <c r="G29" i="7"/>
  <c r="I29" i="7"/>
  <c r="G30" i="7"/>
  <c r="I30" i="7" s="1"/>
  <c r="G31" i="7"/>
  <c r="I31" i="7" s="1"/>
  <c r="G32" i="7"/>
  <c r="I32" i="7" s="1"/>
  <c r="G33" i="7"/>
  <c r="I33" i="7"/>
  <c r="G34" i="7"/>
  <c r="I34" i="7" s="1"/>
  <c r="G35" i="7"/>
  <c r="I35" i="7" s="1"/>
  <c r="G36" i="7"/>
  <c r="I36" i="7" s="1"/>
  <c r="G37" i="7"/>
  <c r="I37" i="7"/>
  <c r="D67" i="7"/>
  <c r="D76" i="7"/>
  <c r="D97" i="7"/>
  <c r="D98" i="7" s="1"/>
  <c r="D99" i="7" s="1"/>
  <c r="G4" i="6"/>
  <c r="I4" i="6"/>
  <c r="G5" i="6"/>
  <c r="I5" i="6"/>
  <c r="G6" i="6"/>
  <c r="I6" i="6" s="1"/>
  <c r="G7" i="6"/>
  <c r="I7" i="6" s="1"/>
  <c r="G8" i="6"/>
  <c r="I8" i="6" s="1"/>
  <c r="G9" i="6"/>
  <c r="I9" i="6"/>
  <c r="G10" i="6"/>
  <c r="I10" i="6" s="1"/>
  <c r="G11" i="6"/>
  <c r="I11" i="6" s="1"/>
  <c r="G12" i="6"/>
  <c r="I12" i="6" s="1"/>
  <c r="G13" i="6"/>
  <c r="I13" i="6"/>
  <c r="G14" i="6"/>
  <c r="I14" i="6" s="1"/>
  <c r="G15" i="6"/>
  <c r="I15" i="6" s="1"/>
  <c r="G16" i="6"/>
  <c r="I16" i="6" s="1"/>
  <c r="G17" i="6"/>
  <c r="I17" i="6"/>
  <c r="G18" i="6"/>
  <c r="I18" i="6" s="1"/>
  <c r="G19" i="6"/>
  <c r="I19" i="6" s="1"/>
  <c r="G20" i="6"/>
  <c r="I20" i="6" s="1"/>
  <c r="G21" i="6"/>
  <c r="I21" i="6"/>
  <c r="G22" i="6"/>
  <c r="I22" i="6" s="1"/>
  <c r="G23" i="6"/>
  <c r="I23" i="6" s="1"/>
  <c r="G24" i="6"/>
  <c r="I24" i="6" s="1"/>
  <c r="G25" i="6"/>
  <c r="I25" i="6"/>
  <c r="G26" i="6"/>
  <c r="I26" i="6" s="1"/>
  <c r="G27" i="6"/>
  <c r="I27" i="6" s="1"/>
  <c r="G28" i="6"/>
  <c r="I28" i="6" s="1"/>
  <c r="G29" i="6"/>
  <c r="I29" i="6"/>
  <c r="G30" i="6"/>
  <c r="I30" i="6" s="1"/>
  <c r="G31" i="6"/>
  <c r="I31" i="6" s="1"/>
  <c r="G32" i="6"/>
  <c r="I32" i="6" s="1"/>
  <c r="G33" i="6"/>
  <c r="I33" i="6"/>
  <c r="G34" i="6"/>
  <c r="I34" i="6" s="1"/>
  <c r="G35" i="6"/>
  <c r="I35" i="6" s="1"/>
  <c r="G36" i="6"/>
  <c r="I36" i="6" s="1"/>
  <c r="G37" i="6"/>
  <c r="I37" i="6"/>
  <c r="D67" i="6"/>
  <c r="D76" i="6"/>
  <c r="D97" i="6"/>
  <c r="D98" i="6" s="1"/>
  <c r="D99" i="6" s="1"/>
  <c r="G48" i="2"/>
  <c r="E48" i="2"/>
  <c r="D48" i="2"/>
  <c r="G47" i="2"/>
  <c r="E47" i="2"/>
  <c r="D47" i="2"/>
  <c r="G46" i="2"/>
  <c r="E46" i="2"/>
  <c r="D46" i="2"/>
  <c r="G45" i="2"/>
  <c r="E45" i="2"/>
  <c r="D45" i="2"/>
  <c r="G44" i="2"/>
  <c r="E44" i="2"/>
  <c r="D44" i="2"/>
  <c r="G43" i="2"/>
  <c r="E43" i="2"/>
  <c r="D43" i="2"/>
  <c r="G42" i="2"/>
  <c r="E42" i="2"/>
  <c r="D42" i="2"/>
  <c r="G41" i="2"/>
  <c r="E41" i="2"/>
  <c r="D41" i="2"/>
  <c r="G40" i="2"/>
  <c r="E40" i="2"/>
  <c r="D40" i="2"/>
  <c r="G39" i="2"/>
  <c r="E39" i="2"/>
  <c r="D39" i="2"/>
  <c r="G38" i="2"/>
  <c r="E38" i="2"/>
  <c r="D38" i="2"/>
  <c r="G37" i="2"/>
  <c r="E37" i="2"/>
  <c r="D37" i="2"/>
  <c r="G36" i="2"/>
  <c r="E36" i="2"/>
  <c r="D36" i="2"/>
  <c r="G35" i="2"/>
  <c r="E35" i="2"/>
  <c r="D35" i="2"/>
  <c r="G34" i="2"/>
  <c r="E34" i="2"/>
  <c r="D34" i="2"/>
  <c r="G33" i="2"/>
  <c r="E33" i="2"/>
  <c r="D33" i="2"/>
  <c r="G32" i="2"/>
  <c r="E32" i="2"/>
  <c r="D32" i="2"/>
  <c r="G31" i="2"/>
  <c r="E31" i="2"/>
  <c r="D31" i="2"/>
  <c r="G30" i="2"/>
  <c r="E30" i="2"/>
  <c r="D30" i="2"/>
  <c r="G29" i="2"/>
  <c r="E29" i="2"/>
  <c r="D29" i="2"/>
  <c r="G28" i="2"/>
  <c r="E28" i="2"/>
  <c r="D28" i="2"/>
  <c r="G27" i="2"/>
  <c r="E27" i="2"/>
  <c r="D27" i="2"/>
  <c r="G26" i="2"/>
  <c r="E26" i="2"/>
  <c r="D26" i="2"/>
  <c r="G25" i="2"/>
  <c r="E25" i="2"/>
  <c r="D25" i="2"/>
  <c r="G24" i="2"/>
  <c r="E24" i="2"/>
  <c r="D24" i="2"/>
  <c r="G23" i="2"/>
  <c r="E23" i="2"/>
  <c r="D23" i="2"/>
  <c r="G22" i="2"/>
  <c r="E22" i="2"/>
  <c r="D22" i="2"/>
  <c r="G21" i="2"/>
  <c r="E21" i="2"/>
  <c r="D21" i="2"/>
  <c r="G20" i="2"/>
  <c r="E20" i="2"/>
  <c r="D20" i="2"/>
  <c r="G19" i="2"/>
  <c r="E19" i="2"/>
  <c r="D19" i="2"/>
  <c r="G18" i="2"/>
  <c r="E18" i="2"/>
  <c r="D18" i="2"/>
  <c r="G17" i="2"/>
  <c r="E17" i="2"/>
  <c r="D17" i="2"/>
  <c r="G16" i="2"/>
  <c r="E16" i="2"/>
  <c r="D16" i="2"/>
  <c r="G15" i="2"/>
  <c r="E15" i="2"/>
  <c r="D15" i="2"/>
  <c r="G14" i="2"/>
  <c r="E14" i="2"/>
  <c r="D14" i="2"/>
  <c r="G13" i="2"/>
  <c r="E13" i="2"/>
  <c r="D13" i="2"/>
  <c r="G12" i="2"/>
  <c r="E12" i="2"/>
  <c r="D12" i="2"/>
  <c r="G11" i="2"/>
  <c r="E11" i="2"/>
  <c r="D11" i="2"/>
  <c r="G10" i="2"/>
  <c r="E10" i="2"/>
  <c r="D10" i="2"/>
  <c r="G9" i="2"/>
  <c r="E9" i="2"/>
  <c r="D9" i="2"/>
  <c r="G8" i="2"/>
  <c r="E8" i="2"/>
  <c r="D8" i="2"/>
  <c r="G7" i="2"/>
  <c r="E7" i="2"/>
  <c r="D7" i="2"/>
  <c r="G6" i="2"/>
  <c r="E6" i="2"/>
  <c r="D6" i="2"/>
  <c r="G5" i="2"/>
  <c r="E5" i="2"/>
  <c r="D5" i="2"/>
  <c r="G4" i="2"/>
  <c r="E4" i="2"/>
  <c r="D4" i="2"/>
  <c r="G3" i="2"/>
  <c r="E3" i="2"/>
  <c r="D3" i="2"/>
  <c r="G2" i="2"/>
  <c r="E2" i="2"/>
  <c r="D2" i="2"/>
  <c r="H395" i="1"/>
  <c r="H394" i="1"/>
  <c r="H393" i="1"/>
  <c r="H392" i="1"/>
  <c r="H391" i="1"/>
  <c r="H390" i="1"/>
  <c r="H48" i="2" s="1"/>
  <c r="H389" i="1"/>
  <c r="H388" i="1"/>
  <c r="H387" i="1"/>
  <c r="H386" i="1"/>
  <c r="F48" i="2" s="1"/>
  <c r="H385" i="1"/>
  <c r="H384" i="1"/>
  <c r="H383" i="1"/>
  <c r="H382" i="1"/>
  <c r="H381" i="1"/>
  <c r="H380" i="1"/>
  <c r="H379" i="1"/>
  <c r="H378" i="1"/>
  <c r="H377" i="1"/>
  <c r="H47" i="2" s="1"/>
  <c r="H376" i="1"/>
  <c r="H375" i="1"/>
  <c r="H374" i="1"/>
  <c r="F47" i="2" s="1"/>
  <c r="H373" i="1"/>
  <c r="H372" i="1"/>
  <c r="H371" i="1"/>
  <c r="H370" i="1"/>
  <c r="H369" i="1"/>
  <c r="H368" i="1"/>
  <c r="H367" i="1"/>
  <c r="H46" i="2" s="1"/>
  <c r="H366" i="1"/>
  <c r="H365" i="1"/>
  <c r="H364" i="1"/>
  <c r="F46" i="2" s="1"/>
  <c r="H363" i="1"/>
  <c r="H362" i="1"/>
  <c r="H361" i="1"/>
  <c r="H360" i="1"/>
  <c r="H359" i="1"/>
  <c r="H358" i="1"/>
  <c r="H45" i="2" s="1"/>
  <c r="H357" i="1"/>
  <c r="H356" i="1"/>
  <c r="F45" i="2" s="1"/>
  <c r="H355" i="1"/>
  <c r="H354" i="1"/>
  <c r="H353" i="1"/>
  <c r="H352" i="1"/>
  <c r="H351" i="1"/>
  <c r="H350" i="1"/>
  <c r="H349" i="1"/>
  <c r="H348" i="1"/>
  <c r="H44" i="2" s="1"/>
  <c r="H347" i="1"/>
  <c r="H346" i="1"/>
  <c r="F44" i="2" s="1"/>
  <c r="H345" i="1"/>
  <c r="H344" i="1"/>
  <c r="H343" i="1"/>
  <c r="H342" i="1"/>
  <c r="H341" i="1"/>
  <c r="H340" i="1"/>
  <c r="H339" i="1"/>
  <c r="H43" i="2" s="1"/>
  <c r="H338" i="1"/>
  <c r="H337" i="1"/>
  <c r="F43" i="2" s="1"/>
  <c r="H336" i="1"/>
  <c r="H335" i="1"/>
  <c r="H334" i="1"/>
  <c r="H333" i="1"/>
  <c r="H332" i="1"/>
  <c r="H42" i="2" s="1"/>
  <c r="H331" i="1"/>
  <c r="F42" i="2" s="1"/>
  <c r="H330" i="1"/>
  <c r="H329" i="1"/>
  <c r="H328" i="1"/>
  <c r="H327" i="1"/>
  <c r="H326" i="1"/>
  <c r="H325" i="1"/>
  <c r="H41" i="2" s="1"/>
  <c r="H324" i="1"/>
  <c r="H323" i="1"/>
  <c r="F41" i="2" s="1"/>
  <c r="H322" i="1"/>
  <c r="H321" i="1"/>
  <c r="H320" i="1"/>
  <c r="H319" i="1"/>
  <c r="H318" i="1"/>
  <c r="H317" i="1"/>
  <c r="H40" i="2" s="1"/>
  <c r="H316" i="1"/>
  <c r="H315" i="1"/>
  <c r="H314" i="1"/>
  <c r="H313" i="1"/>
  <c r="F40" i="2" s="1"/>
  <c r="H312" i="1"/>
  <c r="H311" i="1"/>
  <c r="H310" i="1"/>
  <c r="H309" i="1"/>
  <c r="H308" i="1"/>
  <c r="H307" i="1"/>
  <c r="H306" i="1"/>
  <c r="H39" i="2" s="1"/>
  <c r="H305" i="1"/>
  <c r="H304" i="1"/>
  <c r="H303" i="1"/>
  <c r="F39" i="2" s="1"/>
  <c r="H302" i="1"/>
  <c r="H301" i="1"/>
  <c r="H300" i="1"/>
  <c r="H299" i="1"/>
  <c r="H298" i="1"/>
  <c r="H38" i="2" s="1"/>
  <c r="H297" i="1"/>
  <c r="H296" i="1"/>
  <c r="F38" i="2" s="1"/>
  <c r="H295" i="1"/>
  <c r="H294" i="1"/>
  <c r="H293" i="1"/>
  <c r="H292" i="1"/>
  <c r="H291" i="1"/>
  <c r="H290" i="1"/>
  <c r="H289" i="1"/>
  <c r="H288" i="1"/>
  <c r="H37" i="2" s="1"/>
  <c r="H287" i="1"/>
  <c r="H286" i="1"/>
  <c r="H285" i="1"/>
  <c r="H284" i="1"/>
  <c r="F37" i="2" s="1"/>
  <c r="H283" i="1"/>
  <c r="H282" i="1"/>
  <c r="H281" i="1"/>
  <c r="H280" i="1"/>
  <c r="H279" i="1"/>
  <c r="H278" i="1"/>
  <c r="H277" i="1"/>
  <c r="H276" i="1"/>
  <c r="H36" i="2" s="1"/>
  <c r="H275" i="1"/>
  <c r="H274" i="1"/>
  <c r="H273" i="1"/>
  <c r="F36" i="2" s="1"/>
  <c r="H272" i="1"/>
  <c r="H271" i="1"/>
  <c r="H270" i="1"/>
  <c r="H269" i="1"/>
  <c r="H268" i="1"/>
  <c r="H267" i="1"/>
  <c r="H266" i="1"/>
  <c r="H35" i="2" s="1"/>
  <c r="H265" i="1"/>
  <c r="H264" i="1"/>
  <c r="H263" i="1"/>
  <c r="F35" i="2" s="1"/>
  <c r="H262" i="1"/>
  <c r="H261" i="1"/>
  <c r="H260" i="1"/>
  <c r="H259" i="1"/>
  <c r="H258" i="1"/>
  <c r="H257" i="1"/>
  <c r="H256" i="1"/>
  <c r="H34" i="2" s="1"/>
  <c r="H255" i="1"/>
  <c r="H254" i="1"/>
  <c r="H253" i="1"/>
  <c r="F34" i="2" s="1"/>
  <c r="H252" i="1"/>
  <c r="H251" i="1"/>
  <c r="H250" i="1"/>
  <c r="H249" i="1"/>
  <c r="H33" i="2" s="1"/>
  <c r="H248" i="1"/>
  <c r="H247" i="1"/>
  <c r="H246" i="1"/>
  <c r="F33" i="2" s="1"/>
  <c r="H245" i="1"/>
  <c r="H244" i="1"/>
  <c r="H243" i="1"/>
  <c r="H242" i="1"/>
  <c r="H241" i="1"/>
  <c r="H32" i="2" s="1"/>
  <c r="H240" i="1"/>
  <c r="H239" i="1"/>
  <c r="F32" i="2" s="1"/>
  <c r="H238" i="1"/>
  <c r="H237" i="1"/>
  <c r="H236" i="1"/>
  <c r="H235" i="1"/>
  <c r="H234" i="1"/>
  <c r="H31" i="2" s="1"/>
  <c r="H233" i="1"/>
  <c r="H232" i="1"/>
  <c r="H231" i="1"/>
  <c r="F31" i="2" s="1"/>
  <c r="H230" i="1"/>
  <c r="H229" i="1"/>
  <c r="H228" i="1"/>
  <c r="H227" i="1"/>
  <c r="H226" i="1"/>
  <c r="H30" i="2" s="1"/>
  <c r="H225" i="1"/>
  <c r="H224" i="1"/>
  <c r="H223" i="1"/>
  <c r="H222" i="1"/>
  <c r="F30" i="2" s="1"/>
  <c r="H221" i="1"/>
  <c r="H220" i="1"/>
  <c r="H219" i="1"/>
  <c r="H218" i="1"/>
  <c r="H217" i="1"/>
  <c r="H216" i="1"/>
  <c r="H215" i="1"/>
  <c r="H29" i="2" s="1"/>
  <c r="H214" i="1"/>
  <c r="H213" i="1"/>
  <c r="H212" i="1"/>
  <c r="F29" i="2" s="1"/>
  <c r="I29" i="2" s="1"/>
  <c r="H211" i="1"/>
  <c r="H210" i="1"/>
  <c r="H209" i="1"/>
  <c r="H208" i="1"/>
  <c r="H207" i="1"/>
  <c r="H28" i="2" s="1"/>
  <c r="H206" i="1"/>
  <c r="H205" i="1"/>
  <c r="H204" i="1"/>
  <c r="F28" i="2" s="1"/>
  <c r="I28" i="2" s="1"/>
  <c r="H203" i="1"/>
  <c r="H202" i="1"/>
  <c r="H201" i="1"/>
  <c r="H200" i="1"/>
  <c r="H199" i="1"/>
  <c r="H198" i="1"/>
  <c r="H197" i="1"/>
  <c r="H196" i="1"/>
  <c r="H195" i="1"/>
  <c r="H27" i="2" s="1"/>
  <c r="H194" i="1"/>
  <c r="H193" i="1"/>
  <c r="H192" i="1"/>
  <c r="F27" i="2" s="1"/>
  <c r="H191" i="1"/>
  <c r="H190" i="1"/>
  <c r="H189" i="1"/>
  <c r="H188" i="1"/>
  <c r="H187" i="1"/>
  <c r="H186" i="1"/>
  <c r="H185" i="1"/>
  <c r="H184" i="1"/>
  <c r="H26" i="2" s="1"/>
  <c r="H183" i="1"/>
  <c r="H182" i="1"/>
  <c r="H181" i="1"/>
  <c r="H180" i="1"/>
  <c r="F26" i="2" s="1"/>
  <c r="I26" i="2" s="1"/>
  <c r="H179" i="1"/>
  <c r="H178" i="1"/>
  <c r="H177" i="1"/>
  <c r="H176" i="1"/>
  <c r="H175" i="1"/>
  <c r="H25" i="2" s="1"/>
  <c r="H174" i="1"/>
  <c r="H173" i="1"/>
  <c r="F25" i="2" s="1"/>
  <c r="H172" i="1"/>
  <c r="H171" i="1"/>
  <c r="H170" i="1"/>
  <c r="H169" i="1"/>
  <c r="H168" i="1"/>
  <c r="H167" i="1"/>
  <c r="H24" i="2" s="1"/>
  <c r="H166" i="1"/>
  <c r="H165" i="1"/>
  <c r="H164" i="1"/>
  <c r="H163" i="1"/>
  <c r="F24" i="2" s="1"/>
  <c r="H162" i="1"/>
  <c r="H161" i="1"/>
  <c r="H160" i="1"/>
  <c r="H159" i="1"/>
  <c r="H158" i="1"/>
  <c r="H157" i="1"/>
  <c r="H156" i="1"/>
  <c r="H155" i="1"/>
  <c r="H154" i="1"/>
  <c r="H153" i="1"/>
  <c r="H23" i="2" s="1"/>
  <c r="H152" i="1"/>
  <c r="H151" i="1"/>
  <c r="F23" i="2" s="1"/>
  <c r="H150" i="1"/>
  <c r="H149" i="1"/>
  <c r="H148" i="1"/>
  <c r="H147" i="1"/>
  <c r="H146" i="1"/>
  <c r="H145" i="1"/>
  <c r="H22" i="2" s="1"/>
  <c r="H144" i="1"/>
  <c r="H143" i="1"/>
  <c r="F22" i="2" s="1"/>
  <c r="H142" i="1"/>
  <c r="H141" i="1"/>
  <c r="H140" i="1"/>
  <c r="H139" i="1"/>
  <c r="H138" i="1"/>
  <c r="H137" i="1"/>
  <c r="H21" i="2" s="1"/>
  <c r="H136" i="1"/>
  <c r="H135" i="1"/>
  <c r="H134" i="1"/>
  <c r="F21" i="2" s="1"/>
  <c r="H133" i="1"/>
  <c r="H132" i="1"/>
  <c r="H131" i="1"/>
  <c r="H130" i="1"/>
  <c r="H129" i="1"/>
  <c r="H20" i="2" s="1"/>
  <c r="H128" i="1"/>
  <c r="H127" i="1"/>
  <c r="F20" i="2" s="1"/>
  <c r="H126" i="1"/>
  <c r="H125" i="1"/>
  <c r="H124" i="1"/>
  <c r="H123" i="1"/>
  <c r="H19" i="2" s="1"/>
  <c r="H122" i="1"/>
  <c r="H121" i="1"/>
  <c r="F19" i="2" s="1"/>
  <c r="H120" i="1"/>
  <c r="H119" i="1"/>
  <c r="H118" i="1"/>
  <c r="H117" i="1"/>
  <c r="H18" i="2" s="1"/>
  <c r="H116" i="1"/>
  <c r="H115" i="1"/>
  <c r="F18" i="2" s="1"/>
  <c r="H114" i="1"/>
  <c r="H113" i="1"/>
  <c r="H112" i="1"/>
  <c r="H111" i="1"/>
  <c r="H17" i="2" s="1"/>
  <c r="H110" i="1"/>
  <c r="H109" i="1"/>
  <c r="H108" i="1"/>
  <c r="F17" i="2" s="1"/>
  <c r="I17" i="2" s="1"/>
  <c r="H107" i="1"/>
  <c r="H106" i="1"/>
  <c r="H105" i="1"/>
  <c r="H104" i="1"/>
  <c r="H103" i="1"/>
  <c r="H102" i="1"/>
  <c r="H16" i="2" s="1"/>
  <c r="H101" i="1"/>
  <c r="H100" i="1"/>
  <c r="H99" i="1"/>
  <c r="F16" i="2" s="1"/>
  <c r="H98" i="1"/>
  <c r="H97" i="1"/>
  <c r="H96" i="1"/>
  <c r="H95" i="1"/>
  <c r="H15" i="2" s="1"/>
  <c r="H94" i="1"/>
  <c r="H93" i="1"/>
  <c r="F15" i="2" s="1"/>
  <c r="H92" i="1"/>
  <c r="H91" i="1"/>
  <c r="H90" i="1"/>
  <c r="H89" i="1"/>
  <c r="H14" i="2" s="1"/>
  <c r="H88" i="1"/>
  <c r="H87" i="1"/>
  <c r="F14" i="2" s="1"/>
  <c r="H86" i="1"/>
  <c r="H85" i="1"/>
  <c r="H84" i="1"/>
  <c r="H13" i="2" s="1"/>
  <c r="H83" i="1"/>
  <c r="H82" i="1"/>
  <c r="F13" i="2" s="1"/>
  <c r="H81" i="1"/>
  <c r="H80" i="1"/>
  <c r="H79" i="1"/>
  <c r="H78" i="1"/>
  <c r="H12" i="2" s="1"/>
  <c r="H77" i="1"/>
  <c r="H76" i="1"/>
  <c r="H75" i="1"/>
  <c r="F12" i="2" s="1"/>
  <c r="H74" i="1"/>
  <c r="H73" i="1"/>
  <c r="H72" i="1"/>
  <c r="H71" i="1"/>
  <c r="H70" i="1"/>
  <c r="H69" i="1"/>
  <c r="H11" i="2" s="1"/>
  <c r="H68" i="1"/>
  <c r="H67" i="1"/>
  <c r="H66" i="1"/>
  <c r="F11" i="2" s="1"/>
  <c r="H65" i="1"/>
  <c r="H64" i="1"/>
  <c r="H63" i="1"/>
  <c r="H62" i="1"/>
  <c r="H10" i="2" s="1"/>
  <c r="H61" i="1"/>
  <c r="H60" i="1"/>
  <c r="H59" i="1"/>
  <c r="F10" i="2" s="1"/>
  <c r="H58" i="1"/>
  <c r="H57" i="1"/>
  <c r="H56" i="1"/>
  <c r="H55" i="1"/>
  <c r="H9" i="2" s="1"/>
  <c r="H54" i="1"/>
  <c r="H53" i="1"/>
  <c r="F9" i="2" s="1"/>
  <c r="H52" i="1"/>
  <c r="H51" i="1"/>
  <c r="H50" i="1"/>
  <c r="H49" i="1"/>
  <c r="H8" i="2" s="1"/>
  <c r="H48" i="1"/>
  <c r="H47" i="1"/>
  <c r="H46" i="1"/>
  <c r="F8" i="2" s="1"/>
  <c r="H45" i="1"/>
  <c r="H44" i="1"/>
  <c r="H43" i="1"/>
  <c r="H7" i="2" s="1"/>
  <c r="H42" i="1"/>
  <c r="H41" i="1"/>
  <c r="H40" i="1"/>
  <c r="F7" i="2" s="1"/>
  <c r="H39" i="1"/>
  <c r="H38" i="1"/>
  <c r="H37" i="1"/>
  <c r="H36" i="1"/>
  <c r="H35" i="1"/>
  <c r="H6" i="2" s="1"/>
  <c r="H34" i="1"/>
  <c r="H33" i="1"/>
  <c r="F6" i="2" s="1"/>
  <c r="H32" i="1"/>
  <c r="H31" i="1"/>
  <c r="H30" i="1"/>
  <c r="H29" i="1"/>
  <c r="H28" i="1"/>
  <c r="H5" i="2" s="1"/>
  <c r="H27" i="1"/>
  <c r="F5" i="2" s="1"/>
  <c r="H26" i="1"/>
  <c r="H25" i="1"/>
  <c r="H24" i="1"/>
  <c r="H23" i="1"/>
  <c r="H22" i="1"/>
  <c r="H21" i="1"/>
  <c r="H4" i="2" s="1"/>
  <c r="H20" i="1"/>
  <c r="H19" i="1"/>
  <c r="H18" i="1"/>
  <c r="H17" i="1"/>
  <c r="H16" i="1"/>
  <c r="H15" i="1"/>
  <c r="H14" i="1"/>
  <c r="H13" i="1"/>
  <c r="H3" i="2" s="1"/>
  <c r="H12" i="1"/>
  <c r="H11" i="1"/>
  <c r="H10" i="1"/>
  <c r="H9" i="1"/>
  <c r="H8" i="1"/>
  <c r="H7" i="1"/>
  <c r="H6" i="1"/>
  <c r="H5" i="1"/>
  <c r="H4" i="1"/>
  <c r="H3" i="1"/>
  <c r="H2" i="1"/>
  <c r="I40" i="2" l="1"/>
  <c r="I38" i="7"/>
  <c r="I39" i="7" s="1"/>
  <c r="L1" i="7" s="1"/>
  <c r="I38" i="6"/>
  <c r="I39" i="6" s="1"/>
  <c r="L1" i="6" s="1"/>
  <c r="I6" i="2"/>
  <c r="C19" i="3"/>
  <c r="F4" i="2"/>
  <c r="I4" i="2" s="1"/>
  <c r="I11" i="2"/>
  <c r="C7" i="3" s="1"/>
  <c r="I44" i="2"/>
  <c r="I48" i="2"/>
  <c r="F3" i="2"/>
  <c r="I3" i="2" s="1"/>
  <c r="I5" i="2"/>
  <c r="I10" i="2"/>
  <c r="C6" i="3" s="1"/>
  <c r="I12" i="2"/>
  <c r="I16" i="2"/>
  <c r="I18" i="2"/>
  <c r="C10" i="3" s="1"/>
  <c r="I24" i="2"/>
  <c r="C16" i="3" s="1"/>
  <c r="I41" i="2"/>
  <c r="H2" i="2"/>
  <c r="I19" i="2"/>
  <c r="C11" i="3" s="1"/>
  <c r="I36" i="2"/>
  <c r="I43" i="2"/>
  <c r="I37" i="2"/>
  <c r="F2" i="2"/>
  <c r="I2" i="2" s="1"/>
  <c r="C2" i="3" s="1"/>
  <c r="I13" i="2"/>
  <c r="C8" i="3" s="1"/>
  <c r="I42" i="2"/>
  <c r="I47" i="2"/>
  <c r="I45" i="2"/>
  <c r="I9" i="2"/>
  <c r="I15" i="2"/>
  <c r="I25" i="2"/>
  <c r="C17" i="3" s="1"/>
  <c r="I34" i="2"/>
  <c r="C23" i="3" s="1"/>
  <c r="I8" i="2"/>
  <c r="I21" i="2"/>
  <c r="C13" i="3" s="1"/>
  <c r="I30" i="2"/>
  <c r="I33" i="2"/>
  <c r="C22" i="3" s="1"/>
  <c r="I20" i="2"/>
  <c r="C12" i="3" s="1"/>
  <c r="I23" i="2"/>
  <c r="C15" i="3" s="1"/>
  <c r="I31" i="2"/>
  <c r="I32" i="2"/>
  <c r="C21" i="3" s="1"/>
  <c r="I35" i="2"/>
  <c r="C24" i="3" s="1"/>
  <c r="I39" i="2"/>
  <c r="I14" i="2"/>
  <c r="C9" i="3" s="1"/>
  <c r="I22" i="2"/>
  <c r="C14" i="3" s="1"/>
  <c r="I7" i="2"/>
  <c r="C4" i="3" s="1"/>
  <c r="I27" i="2"/>
  <c r="C18" i="3" s="1"/>
  <c r="I38" i="2"/>
  <c r="I46" i="2"/>
  <c r="B7" i="4" l="1"/>
  <c r="D7" i="4" s="1"/>
  <c r="C3" i="3"/>
  <c r="B4" i="4"/>
  <c r="D4" i="4" s="1"/>
  <c r="B3" i="4"/>
  <c r="D3" i="4" s="1"/>
  <c r="B8" i="4"/>
  <c r="D8" i="4" s="1"/>
  <c r="C20" i="3"/>
  <c r="B6" i="4" s="1"/>
  <c r="D6" i="4" s="1"/>
  <c r="C5" i="3"/>
  <c r="B2" i="4" s="1"/>
  <c r="D2" i="4" s="1"/>
  <c r="B5" i="4"/>
  <c r="D5" i="4" s="1"/>
  <c r="B9" i="4" l="1"/>
</calcChain>
</file>

<file path=xl/sharedStrings.xml><?xml version="1.0" encoding="utf-8"?>
<sst xmlns="http://schemas.openxmlformats.org/spreadsheetml/2006/main" count="3330" uniqueCount="720">
  <si>
    <t>Pillar7</t>
  </si>
  <si>
    <t>Function</t>
  </si>
  <si>
    <t>SubFunction</t>
  </si>
  <si>
    <t>Spec</t>
  </si>
  <si>
    <t>Stage</t>
  </si>
  <si>
    <t>Requirement</t>
  </si>
  <si>
    <t>Score</t>
  </si>
  <si>
    <t>신원</t>
  </si>
  <si>
    <t>식별자 관리</t>
  </si>
  <si>
    <t>사용자 인벤토리</t>
  </si>
  <si>
    <t>사용자 인벤토리는 시스템에 접근하는 모든 사용자와 그들의
권한을 기록하고 관리하는 시스템이다. 이 기능은 사용자에
대한 정확하고 최신 정보를 제공하여 적절한 접근 제어를 
가능하게 한다.</t>
  </si>
  <si>
    <t>초기</t>
  </si>
  <si>
    <t>- 사용자의 역할 및 권한을 포함한 상세 인벤토리 구축하고 있는가?</t>
  </si>
  <si>
    <t>Y</t>
  </si>
  <si>
    <t>- 주기적인 검토와 업데이트 절차 설정하고 있는가?</t>
  </si>
  <si>
    <t>향상</t>
  </si>
  <si>
    <t>- 자동화된 인벤토리 관리 도구 도입을 통한 사용자 데이터 정확성 보장하고 있는가?</t>
  </si>
  <si>
    <t>- ID 통합 관리 시스템을 구축하고 있는가?</t>
  </si>
  <si>
    <t>- 비정상적인 사용자 활동 탐지 기능 추가하고 있는가?</t>
  </si>
  <si>
    <t>최적화</t>
  </si>
  <si>
    <t>- 인벤토리 통합을 통한 기업 전반의 사용자 및 권한 관리 최적화하고 있는가?</t>
  </si>
  <si>
    <t>- 인공지능 기반 분석을 수행하여 사용자 행동 예측 및 대응 전략 걍화하고 있는가?</t>
  </si>
  <si>
    <t>ID 연계 및 사용자 자격 증명</t>
  </si>
  <si>
    <t>여러 시스템 간의 사용자 자격 증명과 인증을 통합하는
프로세스로, 처음에는 ID 생명주기 관리 프로세스를 표준화하고, 
표준 조직 IDP 솔루션과 통합하는 데 초점을 맞춘다. 
이를 완료한 후, 단일 솔루션이나 ID 연계를 통해 기업용 
ILM 프로세스·솔루션을 구축하는 것으로 전환된다.</t>
  </si>
  <si>
    <t>- 여러 시스템 간 자격 증명 연동으로 사용자 경험 통합하고 있는가?</t>
  </si>
  <si>
    <t>- 기업 내외부 시스템과의 연동 강화하고 있는가?</t>
  </si>
  <si>
    <t>- 다양한 ID 제공자 통합을 통한 ID 연계 확대하고 있는가?</t>
  </si>
  <si>
    <t>- 보안 프로토콜 강화로 데이터 보호 개선하고 있는가?</t>
  </si>
  <si>
    <t>- 글로벌 수준의 ID 연계 구현을 통한 통합 사용자 경험 제공하고 있는가?</t>
  </si>
  <si>
    <t>- ID 연계 정책 및 프로세스의 지속적인 최적화하고 있는가?</t>
  </si>
  <si>
    <t>인증</t>
  </si>
  <si>
    <t>다중인증(MFA)</t>
  </si>
  <si>
    <t>사용자가 시스템에 접근하기 위해 두 개 이상의 인증 방법을 
요구하는 보안 조치로, 중앙집중적 사용자 관리를 가능하게 하기 
위해 MFA와 식별자 제공자를 도입하는 데 초점을 맞춘다.
성숙도 수준이 높아짐에 따라 대체 가능하고 유연한 MFA 방식을
적용하여 내부 사용자와 외부 사용자에게 접근을 제공하는데 사용될 
수 있도록 한다.</t>
  </si>
  <si>
    <t>- 다양한 MFA 방법 구현으로 보안 수준 강화하고 있는가?</t>
  </si>
  <si>
    <t>- MFA 정책 표준화 및 적용하고 있는가?</t>
  </si>
  <si>
    <t>- FIDO 기반 인증 기법 적용하고 있는가?</t>
  </si>
  <si>
    <t>- 상황에 맞춘 맞춤형 MFA 기능 제공 및 새로운 인증 방법 지속 도입하고 있는가?</t>
  </si>
  <si>
    <t>- MFA 절차 자동화 및 사용자 경험 최적화하고 있는가?</t>
  </si>
  <si>
    <t>- 컨텍스트 기반 ID 인증 방식 채택하고 있는가?</t>
  </si>
  <si>
    <t>- 비정상적인 로그인 시도 실시간 탐지 및 대응하고 있는가?</t>
  </si>
  <si>
    <t>- MFA 기반 고급 보안 정책 설정하고 있는가?</t>
  </si>
  <si>
    <t>- 이상 행위 발생 시 자동 재인증 요구 등 지속적 신원 검증 수행하고 있는가?</t>
  </si>
  <si>
    <t>지속 인증</t>
  </si>
  <si>
    <t>제로트러스트가 도입되면 지속적인 속성 기반 인증으로 체계적으로
이동할 것이다. 초기에는 기존의 단일 인증을 기업에서 승인한 IDP와
사용자 및 그룹을 기준으로 표준화하는 데 초점을 맞추고, 둘째 
단계에서는 시간 기반의 규칙 기반 인증을 추가하며, 궁극적으로
애플리케이션·소프트웨어 활동 및 요청된 권한에 기반한 지속 인증으로
발전하게 된다.</t>
  </si>
  <si>
    <t>- 모니터링을 통한 이상행위 탐지 및 추가 인증 요구하고 있는가?</t>
  </si>
  <si>
    <t>- 사용자 세션 중 추가 인증 요구 시스템 도입하고 있는가?</t>
  </si>
  <si>
    <t>- 동적 인증 기술 적용으로 실시간 인증 상태 조정하고 있는가?</t>
  </si>
  <si>
    <t>- 지속 인증을 위한 고급 분석 및 경고 기능 통합하고 있는가?</t>
  </si>
  <si>
    <t>-이상 행위 탐지 시 세션 종료 또는 재인증 요구 등 동적 자동 인증 상태 조정하고 있는가?</t>
  </si>
  <si>
    <t>위험도 평가</t>
  </si>
  <si>
    <t>통합 ICAM 플랫폼</t>
  </si>
  <si>
    <t>통합 ICAM 플랫폼은 식별자, 자격 증명, 접근 관리 기능을 중앙에서 
통합하여 관리하는 시스템이다. 기업 수준의 식별자 관리 및 
공개키 인증서(PKI) 시스템을 활용하여 네트워크 전반에 걸쳐 사용자, 
관리자 및 비인간 개체 식별자를 추적하고, 접근이 필요한 자원 
적절한 권한을 가진 자로 제한되도록 보장해야 한다. 기업은 
자격 증명 관리 시스템, 식별자 거버넌스 및 관리 도구, 접근 관리 도구를 
통해 접근 권한이 필요하고 적절한지 검증하여야 한다.</t>
  </si>
  <si>
    <t>- ICAM 시스템 기능 확장 및 중앙 집중형 관리와 모니터링 구현하고 있는가?</t>
  </si>
  <si>
    <t>- 사용자 인증 및 접근 관리 정책 표준화하고 있는가?</t>
  </si>
  <si>
    <t>- 사용자 및 권한 관리에 대한 기본적인 위험도 평가 도입하고 있는가?</t>
  </si>
  <si>
    <t>- 다양한 보안 기술 및 시스템 통합으로 ICAM 플랫폼 강화하고 있는가?</t>
  </si>
  <si>
    <t>- 고급 분석 및 자동화 기능 도입으로 ICAM 최적화하고 있는가?</t>
  </si>
  <si>
    <t>- 다양한 사용자 그룹과 역할에 따른 고도화된 위험도 평가 적용하고 있는가?</t>
  </si>
  <si>
    <t>- AI 기반 ICAM 플랫폼을 통한 실시간 보안 강화하고 있는가?</t>
  </si>
  <si>
    <t>- ICAM 솔루션을 통해 보안 정책 및 절차 지속 개선 및 최적화하고 있는가?</t>
  </si>
  <si>
    <t>- AI 기반의 실시간 위험도 평가로 모든 사용자 권한 관리 최적화하고 있는가?</t>
  </si>
  <si>
    <t>행동, 컨텍스트 기반 ID 및 생체 인식</t>
  </si>
  <si>
    <t>사용자의 행동 패턴, 컨텍스트, 생체 데이터 등 활용하여 인증 및 
접근 제어를 강화하는 기술이다. 기업 IDP를 활용하여 기본 사용자 
속성으로 사용자 및 개체 행동 분석(UEBA)을 활성화한다. UEBA를 
PAM 및 적시/최소 권한 접근(JIT/JEA) 시스템과 통합하여 이상 행위 및 
악의적인 활동을 보다 효과적으로 탐지할 수 있다.</t>
  </si>
  <si>
    <t>- 행동 및 생체 인식 기술 통합으로 인증 절차 강화하고 있는가?</t>
  </si>
  <si>
    <t>- 컨텍스트 기반 접근 권한 조정하고 있는가?</t>
  </si>
  <si>
    <t>- 고급 행동 분석 및 생체 인식 기술을 통한 정확도 향상하고 있는가?</t>
  </si>
  <si>
    <t>- 실시간 사용자 행동 및 컨텍스트 변화 반영으로 접근 제어 조정하고 있는가?</t>
  </si>
  <si>
    <t>- AI 기반 행동 분석 및 생체 인식 솔루션을 통한 고도화된 보안 제공하고 있는가?</t>
  </si>
  <si>
    <t>- 새로운 기술 도입을 통한 인증 절차 지속 최적화하고 있는가?</t>
  </si>
  <si>
    <t>접근 관리</t>
  </si>
  <si>
    <t>조건부 사용자 접근</t>
  </si>
  <si>
    <t>사용자의 위치, 기기 상태, 시간대 등 다양한 조건에 따라 접근 권한을 
동적으로 조정하는 기능이다. ICAM 전반에 걸친 전통적인 역할 기반 
접근 제어에서 시작하여, 애플리케이션 중심의 역할로 확장되며, 
궁극적으로는 동적 접근 규칙을 제공하기 위해 기업 속성을 활용한다.</t>
  </si>
  <si>
    <t>- 조건부 접근 기능 및 정책 기반 특정 조건에서 사용자 접근 제어하고 있는가?</t>
  </si>
  <si>
    <t>- 시간 및 위치 기반 접근 제어를 통해 최소 권한 원칙 적용하고 있는가?</t>
  </si>
  <si>
    <t>- 정교한 조건과 규칙을 활용한 다단계 접근 정책 구현하고 있는가?</t>
  </si>
  <si>
    <t>- 조건에 따른 실시간 접근 결정 자동화하고 있는가?</t>
  </si>
  <si>
    <t>- 세션별 별도의 접근 지원하고 있는가?</t>
  </si>
  <si>
    <t>- 고급 분석 및 ML을 활용한 사용자 행동과 환경 기반 정교한 조건부 
접근 제공하고 있는가?</t>
  </si>
  <si>
    <t>- 동적 접근 정책을 실시간으로 조정 및 최적화하고 있는가?</t>
  </si>
  <si>
    <t>최소 권한 접근</t>
  </si>
  <si>
    <t>사용자가 수행하는 작업에 필요한 최소한의 권한만 부여하여, 
리소스 및 워크로드에 대한 접근을 제한하는 방식이다. 이를 통하여 
리소스 탈취를 최소화할 수 있다.</t>
  </si>
  <si>
    <t>- 권한 부여 표준화 및 역할 기반 권한 부여하고 있는가?</t>
  </si>
  <si>
    <t>- 권한 요청 및 변경 관리 시스템 도입하고 있는가?</t>
  </si>
  <si>
    <t>- 권한 요청 및 사용에 대한 자동화된 모니터링 및 분석 구현하고 있는가?</t>
  </si>
  <si>
    <t>- 권한 관리 정책 지속적 검토 및 업데이트하고 있는가?</t>
  </si>
  <si>
    <t>- 권한 관리 동적 변경 및 최소 권한 부여 구현하고 있는가?</t>
  </si>
  <si>
    <t>- 최소 권한 원칙 전사적 적용 및 실시간 조정하고 있는가?</t>
  </si>
  <si>
    <t>기기 및 엔드포인트</t>
  </si>
  <si>
    <t xml:space="preserve">정책 준수 모니터링
</t>
  </si>
  <si>
    <t>기기 감지 및 규정 준수</t>
  </si>
  <si>
    <t>네트워크에 연결된 기기가 기업 보안 규정을 준수하는지 확인하고, 비준수 기기를 탐지하여 경고하는 시스템이다.</t>
  </si>
  <si>
    <t>- 자동화된 감지 시스템을 도입하여 실시간으로 기기를 탐지하고 규정 준수를 평가하고 있는가?</t>
  </si>
  <si>
    <t>- 비준수 기기에 대한 경고 및 접근 제한 기능 설정하고 있는가?</t>
  </si>
  <si>
    <t>- 규정 준수 평가를 정교화하여 다양한 규정 기준을 적용하고 있는가?</t>
  </si>
  <si>
    <t>- 자동으로 교정 조치를 취할 수 있는 기능 추가하고 있는가?</t>
  </si>
  <si>
    <t>- 규정 준수 상태를 지속적으로 모니터링하며, 규정 준수에 따른 접근 권한 부여하고 있는가?</t>
  </si>
  <si>
    <t>- AI를 활용하여 기기 규정 준수 평가를 최적화하고, 실시간으로 조치 자동화하고 있는가?</t>
  </si>
  <si>
    <t>- 규정 준수 데이터를 분석하여 기기 보안 강화하고 있는가?</t>
  </si>
  <si>
    <t>- 규정 준수 여부에 따라 동적으로 권한 수정하고 있는가?</t>
  </si>
  <si>
    <t>데이터 접근제어</t>
  </si>
  <si>
    <t>실시간 검사를 통한 기기 권한 부여</t>
  </si>
  <si>
    <t>기기가 네트워크에 접근하기 전에 보안 상태를 평가(NextGen AV, AppControl, FIM 등 이용)하고, 안전한 기기만 접근을 허용하는 기능이다.</t>
  </si>
  <si>
    <t>- 기본적인 보안 검사 프로세스를 수립하여 기기가 자산에 접근하기 전에 수동 검사를 시행하고 있는가?</t>
  </si>
  <si>
    <t>- 실시간 보안 검사 도구를 도입하여 기기의 상태를 자동으로 평가하고 있는가?</t>
  </si>
  <si>
    <t>- 보안 기준을 충족하는 기기만 접근을 허용하고 있는가?</t>
  </si>
  <si>
    <t>- 검사를 통과하지 못한 기기에 대해 접근 제한을 설정하고 있는가?</t>
  </si>
  <si>
    <t>- 실시간 검사를 고도화하여 보다 정교한 보안 기준을 적용하고, 기기의 보안 상태를 지속적으로 평가하고 있는가?</t>
  </si>
  <si>
    <t>- 보안 상태에 따라 실시간으로 기기 접근권한 조정하고 있는가?</t>
  </si>
  <si>
    <t>- AI 기반의 실시간 보안 검사 시스템을 통해 기기의 보안 상태를 자동으로 평가하고 실시간으로 대응하고 있는가?</t>
  </si>
  <si>
    <t>- 실시간 검사를 다른 보안 시스템과 통합하여 종합적인 기기 보안 전략을 구현하고 있는가?</t>
  </si>
  <si>
    <t>자산 관리</t>
  </si>
  <si>
    <t>기기 인벤토리</t>
  </si>
  <si>
    <t>모든 기기의 목록을 작성하고 관리하는 시스템이다. 이는 기업 보안을 위해 모든 기기의 상태, 소유자, 위치 등을 정확히 파악할 수 있게 해준다. 기기 속성에는 PKI(802.1x) 시스템 인증서, 기기 개체, 패치 취약성 상태 등을 확인할 수 있는 기술 세부 정보가 포함된다.</t>
  </si>
  <si>
    <t>- 자동화된 기기 인벤토리 시스템을 도입하여 보유한 모든 기기를 실시간으로 기록하고 있는가?</t>
  </si>
  <si>
    <t>- 기기 유형, 운영체제, 위치 등의 세부 정보를 포함한 정교한 인벤토리 구축하고 있는가?</t>
  </si>
  <si>
    <t>- 기기 인벤토리를 지속적으로 업데이트하고 있는가?</t>
  </si>
  <si>
    <t>- 비정상적이거나 승인되지 않은 기기를 탐지하는 기능 추가하고 있는가?</t>
  </si>
  <si>
    <t>- 인벤토리 데이터를 분석하여 보안 취약점을 파악하고 대응 전략 마련하고 있는가?</t>
  </si>
  <si>
    <t>- AI 기반의 인벤토리 관리 솔루션을 활용하여 기기 인벤토리를 자동화하고 최적화하고 있는가?</t>
  </si>
  <si>
    <t>- 실시간 모니터링 및 예측 분석을 통해 기기 보안을 강화하고 있는가?</t>
  </si>
  <si>
    <t>통합 엔드포인트 관리 및 모바일 기기 관리</t>
  </si>
  <si>
    <t>모든 엔드포인트와 모바일 기기를 중앙에서 통합 관리하고, 보안을 유지하는 기능이다. 이는 원격으로 관리될 수 있어야 하며, 보안 정책을 적용할 수 있어야 한다.</t>
  </si>
  <si>
    <t>- 엔드포인트 및 모바일 기기의 보안 설정을 중앙에서 관리하고, 보안 업데이트를 자동으로 배포하고 있는가?</t>
  </si>
  <si>
    <t>- 기기 상태를 지속적으로 모니터링하여 보안을 유지하고 있는가?</t>
  </si>
  <si>
    <t>- 모든 엔드포인트와 모바일 기기를 중앙에서 통합 관리하고, 고급 보안 정책 적용하고 있는가?</t>
  </si>
  <si>
    <t>- 실시간 모니터링 및 위험 탐지 기능을 추가하여 보안 강화하고 있는가?</t>
  </si>
  <si>
    <t>- AI 기반 엔드포인트 및 모바일 기기 관리 솔루션을 통해 보안 최적화 및 실시간 대응하고 있는가?</t>
  </si>
  <si>
    <t>- 모든 기기 보안을 중앙에서 통합적으로 관리하고, 자동화된 위험 대응 구현하고 있는가?</t>
  </si>
  <si>
    <t>기기 위협 보호</t>
  </si>
  <si>
    <t>엔트포인트 및 확장된 탐지·대응
(EDR 및 XDR)</t>
  </si>
  <si>
    <t>엔드포인트와 확장된 영역에서 실시간으로 위협을 탐지하고 대응하는 보안 솔루션을 이용하여 엔드포인트의 이상 행위를 탐지해야 한다.</t>
  </si>
  <si>
    <t>- EDR 시스템을 고도화하여 실시간 위협 탐지 및 자동 대응 구현하고 있는가?</t>
  </si>
  <si>
    <t>- XDR 솔루션을 도입하여 네트워크 전반에 걸친 위협 탐지 확대하고 있는가?</t>
  </si>
  <si>
    <t>- 고급 분석 및 ML을 통합하여 위협 탐지 정확도 향상하고 있는가?</t>
  </si>
  <si>
    <t>- AI 기반의 EDR·XDR 솔루션을 통해 실시간으로 모든 기기에 대한 위협을 탐지하고 자동화된 대응 구현하고 있는가?</t>
  </si>
  <si>
    <t>- 위협 인텔리전스를 통합하여 예측 분석 및 사전 대응 전략 수립하고 있는가?</t>
  </si>
  <si>
    <t>자산, 취약성 및 패치 관리 자동화</t>
  </si>
  <si>
    <t>네트워크에 연결된 모든 기기의 보안 취약점을 관리하고, 최신 보안 패치를 자동으로 적용하는 기능이다.</t>
  </si>
  <si>
    <t>- 자동화된 취약성 평가 및 패치 관리 도구를 도입하여 주요 자산의 보안 강화하고 있는가?</t>
  </si>
  <si>
    <t>- 취약성 발견 시 자동으로 패치를 적용하는 시스템 구축하고 있는가?</t>
  </si>
  <si>
    <t>- 모든 자산에 대해 지속적인 취약성 평가 및 패치 관리 자동화하고 있는가?</t>
  </si>
  <si>
    <t>- 취약성 및 패치 관리 시스템을 다른 보안 시스템과 통합하여 종합적인 보안 관리 전략 구현하고 있는가?</t>
  </si>
  <si>
    <t>- AI 기반의 예측 분석을 활용하여 취약성을 사전에 식별하고, 자동으로 패치 적용하고 있는가?</t>
  </si>
  <si>
    <t>- 자산 관리, 취약성 평가, 패치 관리를 통합하여 실시간으로 보안 최적화하고 있는가?</t>
  </si>
  <si>
    <t>네트워크</t>
  </si>
  <si>
    <t>네트워크 세분화</t>
  </si>
  <si>
    <t>매크로 세그멘테이션</t>
  </si>
  <si>
    <t>매크로 세그멘테이션은 네트워크를 대규모 세그먼트로 나누어 주요 보안 영역을 구분하는 기술이다. 이는 네트워크 전체를 보호하는 데 필요한 보안 경계를 설정하는 데 사용된다.</t>
  </si>
  <si>
    <t>- 매크로 세그먼트를 확장하여 각 세그먼트 간에 보안 정책 적용하고 있는가?</t>
  </si>
  <si>
    <t>- 규제를 강화하고, 세그먼트 간 트래픽을 모니터링 및 비정상적 활동 탐지하고 있는가?</t>
  </si>
  <si>
    <t>- 매크로 세그먼트를 보다 세분화하여 보안 관리 정밀도 향상하고 있는가?</t>
  </si>
  <si>
    <t>- 각 세그먼트에 맞춤형 보안 정책 적용하고 있는가?</t>
  </si>
  <si>
    <t>- 매크로 세그먼트 간 트래픽을 자동으로 조정 및 보안 위협 신속 대응하고 있는가?</t>
  </si>
  <si>
    <t>- AI 기반 매크로 세그먼트 관리 도구 사용하고 있는가?</t>
  </si>
  <si>
    <t>- 매크로 세그먼트 간 트래픽 분석 및 실시간 대응하고 있는가?</t>
  </si>
  <si>
    <t>- 매크로 세그먼트 설정을 동적으로 조정하여 네트워크 보안 최적화하고 있는가?</t>
  </si>
  <si>
    <t>마이크로 세그멘테이션</t>
  </si>
  <si>
    <t>마이크로 세그멘테이션은 네트워크를 세분화하여 각 워크로드나 애플리케이션별로 세그먼트를 설정하는 기술로, 보다 정밀한 보안 제어가 가능하게 한다. 접근하는 ID 또는 애플리케이션 접속을 기준으로 네트워크 세분화를 정의하거나 물리적 세분화를 수행해야 하며, 필요하다면 호스트 수준의 프로세스 마이크로 세그멘테이션을 수행한다.</t>
  </si>
  <si>
    <t>- 마이크로 세그먼트를 확장하여 맞춤형 보안 정책 자동 적용하고 있는가?</t>
  </si>
  <si>
    <t>- 네트워크 수준에서 마이크로 모테리어이션 수행 및 워크로드 간 이동 탐지 차단하고 있는가?</t>
  </si>
  <si>
    <t>- 마이크로 세그먼트 간의 트래픽 모니터링 및 실시간 위협 탐지하고 있는가?</t>
  </si>
  <si>
    <t>- 마이크로 세그먼트 관리 자동화 강화하고 있는가?</t>
  </si>
  <si>
    <t>- 모든 네트워크 트래픽에 대한 정밀한 보안 제어 구현하고 있는가?</t>
  </si>
  <si>
    <t>- 애플리케이션별 격리 매커니즘 적용 및 위협 탐지·대응 시스템과 통합하고 있는가?</t>
  </si>
  <si>
    <t>- AI·ML을 활용하여 마이크로 세그먼트를 실시간 최적화하고 있는가?</t>
  </si>
  <si>
    <t>- 위협에 자동 대응하고, 종합적인 보안 관리 전략 구현하고 있는가?</t>
  </si>
  <si>
    <t>소프트웨어 정의 네트워킹</t>
  </si>
  <si>
    <t>네트워크를 소프트웨어 기반으로 관리하고 제어하는 기술로, SDN 프로그래밍 기능을 구현하여 제어 영역과 데이터 영역을 분리하고 데이터 흐름을 중앙에서 관리 및 제어한다. 네트워크의 유연성을 높이고 보안을 강화하는 데 사용된다.</t>
  </si>
  <si>
    <t>- SDN을 통해 네트워크 트래픽을 중앙에서 관리 및 실시간 정책 적용하고 있는가?</t>
  </si>
  <si>
    <t>- 네트워크 보안 정책을 SDN 환경에 통합하여 자동화된 보안 구현하고 있는가?</t>
  </si>
  <si>
    <t>- SDN 기능 확장을 통해 네트워크 전반 트래픽 관리 및 보안 최적화하고 있는가?</t>
  </si>
  <si>
    <t>- 실시간 네트워크 구성 및 정책 조정하고 있는가?</t>
  </si>
  <si>
    <t>- AI 기반 SDN 솔루션 도입으로 트래픽 예측 및 자동 최적화하고 있는가?</t>
  </si>
  <si>
    <t>- SDN을 통해 네트워크 보안 실시간 강화 및 자동화된 위협 대응 구현하고 있는가?</t>
  </si>
  <si>
    <t>위협 대응</t>
  </si>
  <si>
    <t>위협 대응 기능은 네트워크 내에서 발생하는 모든 잠재적 위협을 신속하게 감지하고 대응하는 시스템을 말한다. 이 기능은 침입 탐지 및 방지 시스템(IDS/IPS), 위협 인텔리전스, 자동화된 대응 시스템 등을 포함한다.</t>
  </si>
  <si>
    <t>- 자동화된 위협 탐지 및 대응 시스템 도입하고 있는가?</t>
  </si>
  <si>
    <t>- 위협 인텔리전스를 활용해 네트워크 모니터링 및 자동 경고 생성하고 있는가?</t>
  </si>
  <si>
    <t>- 실시간 위협 감지 및 선제 대응하고 있는가?</t>
  </si>
  <si>
    <t>- 머신러닝 기반 분석 도입, 비정상 활동 자동 탐지 및 차단하고 있는가?</t>
  </si>
  <si>
    <t>- 완전히 통합된 위협 대응 플랫폼 구축하고 있는가?</t>
  </si>
  <si>
    <t>- AI 기반 예측 분석으로 잠재 위협 사전 감지 및 차단하고 있는가?</t>
  </si>
  <si>
    <t>트래픽 암호화</t>
  </si>
  <si>
    <t>트래픽 암호화는 네트워크 내에서 데이터의 기밀성을 유지하고, 전송 중인 데이터를 보호하기 위한 기술이다. 이는 SSL/TLS, VPN, 데이터 암호화 및 전송 계층 보안을 포함한다.</t>
  </si>
  <si>
    <t>- 암호화 기술 전사적 확대 적용, 모든 중요 데이터 및 통신 채널 암호화하고 있는가?</t>
  </si>
  <si>
    <t>- 전사적 암호화 정책 수립 및 데이터 전송 암호화 일원화하고 있는가?</t>
  </si>
  <si>
    <t>- 고도화된 암호화 기반 적용, 전송 데이터 및 저장 데이터 보호하고 있는가?</t>
  </si>
  <si>
    <t>- 고급 암호화 관리 시스템 도입 및 전방위적인 보호 체계 구축하고 있는가?</t>
  </si>
  <si>
    <t>- 성능 저하 없는 암호화 기술 최적화하고 있는가?</t>
  </si>
  <si>
    <t>- 양자내성암호 도입, 최고 수준의 보안 유지하고 있는가?</t>
  </si>
  <si>
    <t>- 암호화 및 복호화 자동화, 통합 키 관리 시스템 운영하고 있는가?</t>
  </si>
  <si>
    <t>트래픽 관리</t>
  </si>
  <si>
    <t>데이터 흐름 매핑</t>
  </si>
  <si>
    <t>네트워크 내에서 데이터가 어떻게 이동하는지를 시각화하고 분석하는 과정이다. 이를 통해 데이터의 출처, 목적지, 경로 등을 파악하여 보안 정책을 설계하고 위협을 예측할 수 있다.</t>
  </si>
  <si>
    <t>- 애플리케이션 단위에서 데이터 트래픽 매핑 및 분석하고 있는가?</t>
  </si>
  <si>
    <t>- 자동화된 데이터 흐름 매핑 도구 도입하고 있는가?</t>
  </si>
  <si>
    <t>- 보안 정책을 수립하여 비정상적인 데이터 이동 탐지하고 있는가?</t>
  </si>
  <si>
    <t>- 데이터 상관관계 분석 및 위협 이상행위 탐지하고 있는가?</t>
  </si>
  <si>
    <t>- 데이터 흐름과 보안 정책을 실시간으로 업데이트 및 최적화하고 있는가?</t>
  </si>
  <si>
    <t>- AI 기반 예측 분석 도구로 데이터 흐름을 실시간 감지 및 자동 대응하고 있는가?</t>
  </si>
  <si>
    <t>- 네트워크 트래픽 우선순위 동적 분배하고 있는가?</t>
  </si>
  <si>
    <t>- 데이터 흐름 매핑을 다른 보안 시스템과 통합하여 종합적인 네트워크 보안 전략 수립하고 있는가?</t>
  </si>
  <si>
    <t>네트워크 회복성</t>
  </si>
  <si>
    <t>네트워크 회복성은 네트워크가 다양한 위협이나 장애로부터 신속하게 복구되고, 지속적으로 가용성을 유지할 수 있는 능력이다. 이 기능은 다중 경로 설계, 자동 복구, 재해 복구 계획 등을 포함한다.</t>
  </si>
  <si>
    <t>- 다중 경로 설계 및 자동 복구 시스템 도입하고 있는가?</t>
  </si>
  <si>
    <t>- 주요 구성 요소 장애 시 자동화된 장애조치(페일오버) 매커니즘 도입하고 있는가?</t>
  </si>
  <si>
    <t>- 네트워크의 가용성 보장을 위한 예측형 설계 확보하고 있는가?</t>
  </si>
  <si>
    <t>- 네트워크 복구 능력 고도화하고 있는가?</t>
  </si>
  <si>
    <t>- 재해 복구 계획 통합 복구 시나리오 주기적 테스트하고 있는가?</t>
  </si>
  <si>
    <t>- 자동 복구 시스템 도입, 네트워크 장애 실시간 감지 및 복구하고 있는가?</t>
  </si>
  <si>
    <t>- 모든 복구 절차 자동화하고 있는가?</t>
  </si>
  <si>
    <t>- 재해 복구 테스트 정기적 수행 및 회복성 지표 지속 모니터링하고 있는가?</t>
  </si>
  <si>
    <t>애플리케이션 및 워크로드</t>
  </si>
  <si>
    <t>애플리케이션 접근</t>
  </si>
  <si>
    <t>리소스 권한 부여 및 통합</t>
  </si>
  <si>
    <t>애플리케이션 및 시스템에 대한 접근관리를 말하며, 이는 다른 보안 시스템과 통합하여 보안을 강화하는 과정으로, 표준화된 리소스 승인 게이트웨이를 설정하여 관리한다.</t>
  </si>
  <si>
    <t>- 중앙 집중식 접근권한 관리 시스템 도입하고 있는가?</t>
  </si>
  <si>
    <t>- 모든 리소스에 대해 권한 중앙 관리하고 있는가?</t>
  </si>
  <si>
    <t>- 접근권한 관리 시스템을 기업의 다른 보안 시스템과 통합하고 있는가?</t>
  </si>
  <si>
    <t>- 다수의 컨텍스트 정보를 조합하여 세분화된 접근권한 적용하고 있는가?</t>
  </si>
  <si>
    <t>- RBAC과 ABAC 결합하고 있는가?</t>
  </si>
  <si>
    <t>- AI를 활용하여 사용자 행동 분석하고 있는가?</t>
  </si>
  <si>
    <t>- 이상 징후를 자동으로 탐지하여 권한 조정하고 있는가?</t>
  </si>
  <si>
    <t>- 자동화된 접근권한 부여 및 취소 시스템 도입하고 있는가?</t>
  </si>
  <si>
    <t>- 실시간 권한 관리 및 비정상적 접근 차단하고 있는가?</t>
  </si>
  <si>
    <t>- 모든 리소스 권한 부여 및 관리 자동화하고 있는가?</t>
  </si>
  <si>
    <t>- 지속적인 모니터링 및 최적화하고 있는가?</t>
  </si>
  <si>
    <t>애플리케이션 위협 보호</t>
  </si>
  <si>
    <t>지속적인 모니터링 및 진행 중인 승인</t>
  </si>
  <si>
    <t>자동화된 도구와 프로세스를 사용하여 애플리케이션 및 시스템의 보안 상태를 지속적으로 모니터링하고, 실시간으로 보안 승인을 관리하는 과정이다.</t>
  </si>
  <si>
    <t>- 자동화된 보안 모니터링 도구 도입하고 있는가?</t>
  </si>
  <si>
    <t>- 실시간 보안 이벤트 수집 및 분석하고 있는가?</t>
  </si>
  <si>
    <t>- 진행 중인 승인 프로세스 도입하고 있는가?</t>
  </si>
  <si>
    <t>- 모든 시스템 변경 사항에 대해 보안 검토 수행하고 있는가?</t>
  </si>
  <si>
    <t>- AI 기반의 보안 모니터링 시스템 도입하고 있는가?</t>
  </si>
  <si>
    <t>- 보안 이벤트 분석 및 이상 징후 실시간 탐지하고 있는가?</t>
  </si>
  <si>
    <t>- 보안 승인 프로세스 자동화하고 있는가?</t>
  </si>
  <si>
    <t>- 보안 위협이 있는 변경 사항 자동으로 차단/수정하고 있는가?</t>
  </si>
  <si>
    <t>- 보안 모니터링 최적화하고 있는가?</t>
  </si>
  <si>
    <t>- 위협 사전 예측 및 대응하고 있는가?</t>
  </si>
  <si>
    <t>- 모든 시스템의 보안 상태 지속적으로 평가하고 있는가?</t>
  </si>
  <si>
    <t>- 자동화된 보안 승인 프로세스 적용하고 있는가?</t>
  </si>
  <si>
    <t>접근 가능한 애플리케이션</t>
  </si>
  <si>
    <t>원격 접속</t>
  </si>
  <si>
    <t>사용자가 외부에서 안전하게 기업망에 접속할 수 있도록 하는 보안 조치이다. 접근 권한 기준을 설정하기 위해 기존 기기 접근 프로세스 및 도구를 사용한다. 승인된 애플리케이션에서만 해당 기업 ID/PIS를 사용하는 기기 및 동의 원격 접속 자원을 포함하도록 확장한다.</t>
  </si>
  <si>
    <t>- 원격 접속 보안 강화를 통한 사용자 인증 및 데이터 암호화 구현하고 있는가?</t>
  </si>
  <si>
    <t>- 애플리케이션별 접근제어가 추가되어, 사용자 및 기기 보안 상태에 따라 접근 허용하고 있는가?</t>
  </si>
  <si>
    <t>- 원격 접속 기기 실시간 모니터링 및 감시하고 있는가?</t>
  </si>
  <si>
    <t>- 원격 접속 기기 사용을 시나리오별로 제한하고, 보안 위협이 탐지될 때 자동화된 정책을 적용하여 애플리케이션 기능 제약하고 있는가?</t>
  </si>
  <si>
    <t>- AI를 활용하여 원격 접속 보안 고도화하고 있는가?</t>
  </si>
  <si>
    <t>- 애플리케이션 접근이 사용자 행동 및 접속 상태에 따라 자동으로 조정되며, AI를 통해 위협 요소가 탐지될 경우 애플리케이션 기능이 즉각적으로 제한 또는 차단하고 있는가?</t>
  </si>
  <si>
    <t>안전한 애플리케이션 배포</t>
  </si>
  <si>
    <t>애플리케이션 배포 과정에서 보안 검증, 취약점 검사, 자동화된 배포 파이프라인, 코드 무결성 검증, 환경 격리 및 모니터링을 포함한다.</t>
  </si>
  <si>
    <t>- 자동화된 배포 파이프라인 구축하고 있는가?</t>
  </si>
  <si>
    <t>- 애플리케이션 배포 시 보안 자동으로 적용하고 있는가?</t>
  </si>
  <si>
    <t>- CI/CD 파이프라인에 자동화된 보안 검사 도구 통합하고 있는가?</t>
  </si>
  <si>
    <t>- 배포 과정 전체에 걸쳐 보안 모니터링 및 자동화하고 있는가?</t>
  </si>
  <si>
    <t>- 보안 정책 준수 여부를 자동으로 검증하는 도구 도입하고 있는가?</t>
  </si>
  <si>
    <t>- 애플리케이션의 모든 구성 요소가 배포 전 보안 검사를 거치도록 구성하고 있는가?</t>
  </si>
  <si>
    <t>- 배포 중에 발생할 수 있는 비정상적 활동 모니터링 및 대응하고 있는가?</t>
  </si>
  <si>
    <t>- 완전한 자동화된 보안 배포 파이프라인 구현하고 있는가?</t>
  </si>
  <si>
    <t>- 애플리케이션 배포 시 최상의 보안 상태를 유지하고 있는가?</t>
  </si>
  <si>
    <t>- AI를 활용한 고도화된 위협 탐지 및 대응 시스템을 배포 파이프라인에 통합하고 있는가?</t>
  </si>
  <si>
    <t>- 배포 환경 전반에 걸쳐 보안 기능 적용하고 있는가?</t>
  </si>
  <si>
    <t>- 모든 배포에서 보안 감사 및 추적 자동화하고 있는가?</t>
  </si>
  <si>
    <t>애플리케이션 인벤토리</t>
  </si>
  <si>
    <t>기업 내에서 사용되는 모든 애플리케이션을 식별하고 이를 체계적으로 관리하는 과정이다. 인벤토리를 통해 애플리케이션의 상태, 소유자, 연결, 사용 목적 등을 파악할 수 있다.</t>
  </si>
  <si>
    <t>- 자동화된 인벤토리 관리 도구로 도입하고 있는가?</t>
  </si>
  <si>
    <t>- 애플리케이션 자동 식별 및 주기적 업데이트하고 있는가?</t>
  </si>
  <si>
    <t>- 애플리케이션에 생성주기 관리 기능을 도입하여 인벤토리를 지속적으로 유지하고 있는가?</t>
  </si>
  <si>
    <t>- 애플리케이션 인벤토리에 보안 정보 추가하고 있는가?</t>
  </si>
  <si>
    <t>- 애플리케이션의 보안 상태 평가 및 분석하고 있는가?</t>
  </si>
  <si>
    <t>- 인벤토리 데이터를 기반으로 보안 정책 설정하고 있는가?</t>
  </si>
  <si>
    <t>- 통합된 애플리케이션 관리 시스템 도입하고 있는가?</t>
  </si>
  <si>
    <t>- 애플리케이션 변경 사항 실시간 반영하고 있는가?</t>
  </si>
  <si>
    <t>- 보안 상태 지속적 모니터링하고 있는가?</t>
  </si>
  <si>
    <t>- 애플리케이션 인벤토리를 다른 보안 시스템과 통합, 종합적인 보안 관리 전략 구현하고 있는가?</t>
  </si>
  <si>
    <t>소프트웨어·애플리케이션 
보안</t>
  </si>
  <si>
    <t>안전한 소프트웨어 개발 및 통합</t>
  </si>
  <si>
    <t>소프트웨어 개발 생명주기(SDLC) 전반에 걸쳐 보안 요소를 내재화하고, 개발과 소프트웨어를 안전하게 통합하는 과정이다. 자동 검토, 취약점 탐지, 보안 API 게이트웨이, 릴레이어 및 서비스 보안관을 전반에 적용한다. DevSecOps를 통해 워크플로우를 구성한다.</t>
  </si>
  <si>
    <t>- 안전성 검토와 테스트를 SDLC에 통합하고 있는가?</t>
  </si>
  <si>
    <t>- 개발 단계에서부터 보안 취약성 식별 및 수정하고 있는가?</t>
  </si>
  <si>
    <t>- CI/CD 파이프라인에 정적 및 동적 분석 도구를 통합하여 자동화된 보안 검사 수행하고 있는가?</t>
  </si>
  <si>
    <t>- DevSecOps 환경 구축하고 있는가?</t>
  </si>
  <si>
    <t>- 주요 개발 내용에 대한 SBOM 문서 작성하고 있는가?</t>
  </si>
  <si>
    <t>- 서드파티 라이브러리 및 오픈소스 소프트웨어 보안 검사 자동화 및 인텔리전트 분석하고 있는가?</t>
  </si>
  <si>
    <t>- 프로세스 전반에 걸친 SBOM 문서 활용하고 있는가?</t>
  </si>
  <si>
    <t>- SBOM 문서 생성을 자동화하기 위한 도구 이용하고 있는가?</t>
  </si>
  <si>
    <t>- 소프트웨어 개발 관련 기업의 프로세스를 전사적 거버넌스로 통합하고 있는가?</t>
  </si>
  <si>
    <t>- 모든 소프트웨어의 개발 및 통합 프로세스 자동화하고 있는가?</t>
  </si>
  <si>
    <t>- 관리되는 소프트웨어에 대한 분석 자동화를 통한 보안 지속 유지 및 최적화하고 있는가?</t>
  </si>
  <si>
    <t>소프트웨어 위험 관리</t>
  </si>
  <si>
    <t>소프트웨어 개발 및 운영 과정에서 발생할 수 있는 보안 위협을 식별, 평가, 완화하는 프로세스이다.</t>
  </si>
  <si>
    <t>- 각 소프트웨어의 위협 수준 평가 및 우선순위 지정하고 있는가?</t>
  </si>
  <si>
    <t>- 위협 평가 절차를 통해 점검 및 기준을 반영한 보안 정책 반영하고 있는가?</t>
  </si>
  <si>
    <t>- 위협 관리 시스템 자동화하고 있는가?</t>
  </si>
  <si>
    <t>- 실시간 소프트웨어 위협 탐지 모니터링 및 대응하고 있는가?</t>
  </si>
  <si>
    <t>- 소프트웨어 공급망에 대한 보안 강화하고 있는가?</t>
  </si>
  <si>
    <t>- AI 기반 예측 분석 도입하고 있는가?</t>
  </si>
  <si>
    <t>- 잠재적인 보안 취약점 식별 및 대응하고 있는가?</t>
  </si>
  <si>
    <t>- 맞춤형 공격 대응 체계 확립하고 있는가?</t>
  </si>
  <si>
    <t>- 기업 전체에서 위협 관리 통합하고 있는가?</t>
  </si>
  <si>
    <t>데이터</t>
  </si>
  <si>
    <t>데이터 목록 관리</t>
  </si>
  <si>
    <t>데이터 카탈로그 위험 정렬</t>
  </si>
  <si>
    <t>기업의 모든 데이터를 분류하고, 데이터가 식별 및 목록화되며, 사용이 자동으로 감지되어 데이터 수명에 따라 모든 변경 사항을 인식하는 기능을 말한다. 또한 데이터의 위험 수준을 평가하고 체계적으로 관리하는 과정이다.</t>
  </si>
  <si>
    <t>- 자동화된 데이터 카탈로그 도구 도입하고 있는가?</t>
  </si>
  <si>
    <t>- 데이터 자산 일부 자동화를 통한 수집 및 분류하고 있는가?</t>
  </si>
  <si>
    <t>- 데이터 위험 수준을 정의하기 위한 기본적인 기준과 지침 수립하고 있는가?</t>
  </si>
  <si>
    <t>- 고급 분석 도구를 통해 데이터 민감도 및 위험 수준 정밀 평가하고 있는가?</t>
  </si>
  <si>
    <t>- 데이터 카탈로그를 정제하고 있는가?</t>
  </si>
  <si>
    <t>- 카탈로그 지속적 업데이트 및 위험 정렬을 기반으로 한 데이터 통제 적용하고 있는가?</t>
  </si>
  <si>
    <t>- 데이터 사용 패턴 분석 수행하고 있는가?</t>
  </si>
  <si>
    <t>- AI를 활용하여 데이터 위험 요소 실시간 분석 및 카탈로그 반영하고 있는가?</t>
  </si>
  <si>
    <t>- 데이터 카탈로그를 다른 보안 시스템과 통합하고 있는가?</t>
  </si>
  <si>
    <t>기업 데이터 거버넌스</t>
  </si>
  <si>
    <t>기업 내 모든 데이터의 사용, 접근, 관리에 대한 규칙과 절차를 정의하고 준수하는 과정을 의미한다.</t>
  </si>
  <si>
    <t>- 데이터 거버넌스 프레임워크 도입하고 있는가?</t>
  </si>
  <si>
    <t>- 기업 내 모든 데이터 관리 정책 및 표준화하고 있는가?</t>
  </si>
  <si>
    <t>- 데이터 정책 준수를 위한 정기적인 감사 및 검토 수행하고 있는가?</t>
  </si>
  <si>
    <t>- 데이터 거버넌스 도구를 사용하여 데이터 관리 프로세스 자동화하고 있는가?</t>
  </si>
  <si>
    <t>- 정책 준수 상태 실시간 모니터링하고 있는가?</t>
  </si>
  <si>
    <t>- 거버넌스 정책을 지속적으로 업데이트하여, 변화하는 규제와 비즈니스 요구사항에 대응하고 있는가?</t>
  </si>
  <si>
    <t>- AI 기반의 데이터 관리 시스템을 도입하고 있는가?</t>
  </si>
  <si>
    <t>- 데이터 정책 준수 상태 실시간 평가 및 최적화하고 있는가?</t>
  </si>
  <si>
    <t>- 거버넌스 프레임워크를 다른 보안 시스템과 통합하여, 일원된 데이터 관리 및 보호하고 있는가?</t>
  </si>
  <si>
    <t>접근 결정방법</t>
  </si>
  <si>
    <t>데이터를 보호하기 위해 데이터에 접근할 수 있는 권한을 부여하고, 이를 엄격하게 관리하는 과정이다. 데이터 및 사용자·비인가자·기기 속성을 기반으로 데이터에 대한 적절한 접근 및 사용을 보장해야 한다.</t>
  </si>
  <si>
    <t>- 중앙 집중식 접근제어 시스템을 도입하고 있는가?</t>
  </si>
  <si>
    <t>- 최소화의 권한 요소 확인을 통한 데이터 접근 여부 결정하고 있는가?</t>
  </si>
  <si>
    <t>- ABAC 도입을 통해 보다 세밀하고 유연한 접근권한 관리 구현하고 있는가?</t>
  </si>
  <si>
    <t>- 접근제어 시스템을 다른 보안 시스템과 통합하여, 종합적인 보안 정책 적용하고 있는가?</t>
  </si>
  <si>
    <t>- AI 기반 데이터 접근제어 최적화 및 실시간 권한 조정하고 있는가?</t>
  </si>
  <si>
    <t>- 모든 데이터 접근제어 자동화 및 조직의 보안 정책에 맞춰 지속적으로 최적화하고 있는가?</t>
  </si>
  <si>
    <t>데이터 암호화</t>
  </si>
  <si>
    <t>데이터 암호화 및 권한 관리</t>
  </si>
  <si>
    <t>데이터의 무결성과 기밀성을 보장하기 위해 데이터를 암호화하고, 관련 정책과 절차를 수립·관리하는 과정이다. 저장 정보 암호화, 전송 정보 암호화, 키 관리 등을 포함한다.</t>
  </si>
  <si>
    <t>- 자동화된 데이터 암호화 도구 도입하고 있는가?</t>
  </si>
  <si>
    <t>- 모든 중요한 데이터를 자동으로 암호화하고 있는가?</t>
  </si>
  <si>
    <t>- 중앙 집중식 데이터 관련 관리 시스템 도입하고 있는가?</t>
  </si>
  <si>
    <t>- 고급 암호화 기술을 도입하고 있는가?</t>
  </si>
  <si>
    <t>- 관련 관리 시스템을 다른 보안 시스템과 통합하고 있는가?</t>
  </si>
  <si>
    <t>- RBAC·ABAC 결합을 통한 정밀한 접근 관리 구현하고 있는가?</t>
  </si>
  <si>
    <t>- AI 기반의 암호화 및 관련 관리 시스템 도입을 통해 데이터 보호 최적화 및 실시간 권한 조정하고 있는가?</t>
  </si>
  <si>
    <t>- 모든 데이터 암호화 및 관련 절차 자동화하고 있는가?</t>
  </si>
  <si>
    <t>데이터 분류</t>
  </si>
  <si>
    <t>데이터 라벨링 및 태그 지정</t>
  </si>
  <si>
    <t>데이터를 식별하고 분류하기 위해 메타데이터를 지정하는 과정이다. 데이터의 소유자를 포함해 데이터의 중요도, 민감도, 접근 제한 수준 등을 지정함으로써 데이터의 보안 수준을 강화할 수 있다.</t>
  </si>
  <si>
    <t>- 데이터에 기본적인 라벨 및 태그 수동 지정하고 있는가?</t>
  </si>
  <si>
    <t>- 민감한 데이터에 대해 특수 라벨 지정 및 적용된 보안 정책 적용하고 있는가?</t>
  </si>
  <si>
    <t>- 자동화된 라벨링 및 태그 지정 도구 도입하고 있는가?</t>
  </si>
  <si>
    <t>- 데이터 자산 자동 분류 및 라벨 지정하고 있는가?</t>
  </si>
  <si>
    <t>- 데이터 라벨링 관련 정보를 다른 보안 시스템과 연계하고 있는가?</t>
  </si>
  <si>
    <t>- 고급 메타데이터 관리 도구를 사용하고 있는가?</t>
  </si>
  <si>
    <t>- AI를 활용하여 라벨링 및 분류를 최적화 및 자동화하고 있는가?</t>
  </si>
  <si>
    <t>- 민감한 데이터 자동 식별 및 보안 적용하고 있는가?</t>
  </si>
  <si>
    <t>- 라벨링 및 태그 정보를 모든 보안 시스템과 통합 관리하고 있는가?</t>
  </si>
  <si>
    <t>데이터 손실 방지</t>
  </si>
  <si>
    <t>데이터 손실 방지(DLP)</t>
  </si>
  <si>
    <t>민감한 데이터의 유출을 방지하고, 데이터의 무단 접근을 차단하기 위한 기술적 장치이다. 사용자의 행위를 식별하여 이상 행위를 탐지하고, 실시간 차단이 가능한 시스템을 말한다.</t>
  </si>
  <si>
    <t>- 초기 DLP 도구 도입, 주요 데이터 유출 경로 모니터링하고 있는가?</t>
  </si>
  <si>
    <t>- DLP 정책 정의 및 다양한 데이터 채널을 통한 유출 차단하고 있는가?</t>
  </si>
  <si>
    <t>- DLP 솔루션 도입하여 모듈 사용하고 있는가?</t>
  </si>
  <si>
    <t>- DLP 시스템을 기업 전반에 도입, 실시간 데이터 보호 및 유출 방지하고 있는가?</t>
  </si>
  <si>
    <t>- DLP 시스템을 다른 보안 시스템과 통합하여 데이터 보호 전략 구현하고 있는가?</t>
  </si>
  <si>
    <t>- DLP 솔루션 확장 및 모든 모듈 사용하고 있는가?</t>
  </si>
  <si>
    <t>- AI를 활용한 데이터 유출 탐지 예방 기능 강화하고 있는가?</t>
  </si>
  <si>
    <t>- 데이터 유출 위험 실시간 예측 및 차단하고 있는가?</t>
  </si>
  <si>
    <t>- 모든 DLP 프로세스 자동화하고 있는가?</t>
  </si>
  <si>
    <t>- 변화하는 데이터 환경에 맞춰 자동으로 보안 정책 최적화하고 있는가?</t>
  </si>
  <si>
    <t>데이터 모니터링 및 감지</t>
  </si>
  <si>
    <t>데이터 사용과 이동을 실시간으로 모니터링하고, 비정상적인 활동을 탐지하여 데이터 유출을 사전에 방지한다.</t>
  </si>
  <si>
    <t>- 자동화된 데이터 모니터링 도구를 도입하고 있는가?</t>
  </si>
  <si>
    <t>- 실시간 데이터 활동 검사 및 비정상적 행동 탐지하고 있는가?</t>
  </si>
  <si>
    <t>- 모니터링 결과 기반 보안 정책 조정하고 있는가?</t>
  </si>
  <si>
    <t>- AI 기반의 데이터 모니터링 시스템 도입하고 있는가?</t>
  </si>
  <si>
    <t>- 데이터 활동 검사 및 이상 징후 실시간 탐지하고 있는가?</t>
  </si>
  <si>
    <t>- 데이터 모니터링 결과를 다른 보안 시스템과 연계하여, 종합적인 보안 대응 구현하고 있는가?</t>
  </si>
  <si>
    <t>- AI를 활용하여 데이터 모니터링 최적화하고 있는가?</t>
  </si>
  <si>
    <t>- 사전에 위협 예측 및 대응하고 있는가?</t>
  </si>
  <si>
    <t>- 모든 데이터 활동 지속적 평가 및 자동화된 보안 대응 시스템 구현하고 있는가?</t>
  </si>
  <si>
    <t>가시성 및 분석</t>
  </si>
  <si>
    <t>모든 관련 활동 기록</t>
  </si>
  <si>
    <t>네트워크, 사용자, 기기, 애플리케이션 등에서 발생하는 모든 이벤트를 기록하여 저장하는 기능이다. 이를 로그 데이터를 생성하고 이를 기반으로 하여 분석을 위한 데이터를 축적하는 역할을 한다. 또한 활동에는 로그인 시도, 접근권한 변경, 데이터 접근, 애플리케이션 실행 등 보안과 관련된 모든 활동이 포함된다. 이 기능은 잠재적인 보안 위협을 식별하고, 사건 발생 시 원인을 추적하여 분석을 가능하게 한다.</t>
  </si>
  <si>
    <t>- 다양한 시스템에서 자동으로 로그 데이터 수집하고 있는가?</t>
  </si>
  <si>
    <t>- 활동 기록 중앙집중화 수립하고 있는가?</t>
  </si>
  <si>
    <t>- 로그 수집은 네트워크, 애플리케이션, 기기 등 여러 곳에서 이루어지며, 실시간으로 보안 이벤트 기록하고 있는가?</t>
  </si>
  <si>
    <t>- 로그 수집 및 관리 자동화하고 있는가?</t>
  </si>
  <si>
    <t>- 보안 사고 발생 시 신속하게 로그를 분석하고 대응할 수 있는 기반 마련하고 있는가?</t>
  </si>
  <si>
    <t>- 수집된 데이터를 분석하여 보안 위협을 실시간으로 탐지하고 경고 생성하고 있는가?</t>
  </si>
  <si>
    <t>- 로그 기록의 무결성 보장하고 있는가?</t>
  </si>
  <si>
    <t>- 로그 데이터를 기반으로 예측 분석 시작하고 있는가?</t>
  </si>
  <si>
    <t>- 비정상적인 활동 사전 감지하고 있는가?</t>
  </si>
  <si>
    <t>- AI를 활용한 로그 분석 시스템 구축하고 있는가?</t>
  </si>
  <si>
    <t>- 실시간으로 활동 기록 분석 및 자동으로 보안 위협에 대응하는 자율 보안 체계 구현하고 있는가?</t>
  </si>
  <si>
    <t>- 로그 데이터 관련 항목 분석 자동화 및 정규화하고 있는가?</t>
  </si>
  <si>
    <t>- 실시간 로그 분석 통한 보안 정책 자동 조정하고 있는가?</t>
  </si>
  <si>
    <t>- 모든 활동 기록 중앙 관리하고 있는가?</t>
  </si>
  <si>
    <t>중앙집중적 보안 정보 및 이벤트 관리</t>
  </si>
  <si>
    <t>중앙집중적 SIEM은 다양한 보안 이벤트 및 로그 데이터를 한 곳에서 수집하고 관리하는 시스템이다. 실시간으로 다양한 이벤트를 탐지하며, 분석과 모니터링, 탐지, 경보 및 보고서 작성 기능을 제공한다. 이를 통해 보안 담당자는 전체 보안 상태를 중앙에서 파악하고, 빠르게 보안 위협을 대응할 수 있다. SIEM은 보안 정책 준수 및 규제 요구사항을 충족하는 데도 도움을 준다.</t>
  </si>
  <si>
    <t>- 다양한 시스템에서 발생하는 보안 이벤트를 로그 데이터로 자동으로 중앙집중적 SIEM 시스템으로 전송·관리하고 있는가?</t>
  </si>
  <si>
    <t>- 수집된 데이터 실시간 모니터링하고 있는가?</t>
  </si>
  <si>
    <t>- 보안 사고 발생 시 신속하게 대응할 수 있는 중앙집중적 보안 관리 체계 구축하고 있는가?</t>
  </si>
  <si>
    <t>- 중앙집중적 SIEM 시스템에서 실시간으로 보안 이벤트를 분석하고 경고 생성하고 있는가?</t>
  </si>
  <si>
    <t>- SIEM 시스템과 다양한 보안 도구 연동을 통한 보안 데이터 종합적 분석하고 있는가?</t>
  </si>
  <si>
    <t>- AI를 도입하여 SIEM 시스템에서 수집된 데이터를 기반으로 보안 이벤트를 자동 분석하고 있는가?</t>
  </si>
  <si>
    <t>- 비정상적인 활동 실시간 탐지하고 있는가?</t>
  </si>
  <si>
    <t>- 자율적으로 보안 정책 조정 및 보안 사고 발생 시 자동 대응 기능 구현하고 있는가?</t>
  </si>
  <si>
    <t>보안 위협 분석</t>
  </si>
  <si>
    <t>네트워크에서 발생하는 다양한 활동 및 로그를 분석하여, 잠재적인 보안 위협을 식별하고 대응하는 기능이다. 주요 수집로그로 공격 패턴, 취약점, 이상 행동 등을 분석하며 위협을 사전에 탐지하고, 필요 시 자동으로 조치를 취하는 데 사용된다. 보안 위협 분석은 실시간으로 수행되며, 침입 시도나 이상 행동을 탐지하여 피해를 최소화할 수 있다.</t>
  </si>
  <si>
    <t>- 알려진 취약점에 대한 위험성 평가 기준 구현하고 있는가?</t>
  </si>
  <si>
    <t>- 수집된 데이터를 기반으로 보안 위협을 비례 분석하고, 경고 생성하고 있는가?</t>
  </si>
  <si>
    <t>- 자동화된 보안 위협 분석 도구 도입하고 있는가?</t>
  </si>
  <si>
    <t>- ML을 활용하여 비정상적인 행동 실시간 분석하고 있는가?</t>
  </si>
  <si>
    <t>- 지속적인 위협 탐지 수행하고 있는가?</t>
  </si>
  <si>
    <t>- AI 기반의 예측 분석 시스템을 통한 실시간 위협 탐지 및 자동 대응하고 있는가?</t>
  </si>
  <si>
    <t>- 자율 보안 체계 구축하고 있는가?</t>
  </si>
  <si>
    <t>- 보안 위협 발생 전 차단하고 있는가?</t>
  </si>
  <si>
    <t>사용자 및 기기 동작 분석</t>
  </si>
  <si>
    <t>네트워크 내의 사용자와 행동 패턴의 기기 활동을 모니터링하며, 비정상적이거나 의심스러운 행동을 탐지하는 기능이다. 이를 통해 정상적인 사용자와 악의적인 사용자의 행동을 구분하고, 악의적인 행동을 탐지할 수 있다. AI 또는 ML을 활용하여 행동 패턴을 학습하고, 실시간으로 분석을 수행한다.</t>
  </si>
  <si>
    <t>- 자동화된 사용자 및 기기 동작 분석 도구 도입하고 있는가?</t>
  </si>
  <si>
    <t>- 네트워크 내 모든 활동 실시간 모니터링하고 있는가?</t>
  </si>
  <si>
    <t>- 사용자 행동 패턴과 기기 활동 자동으로 분석하고 있는가?</t>
  </si>
  <si>
    <t>- 이상 행동 감지 시 경고 생성 및 대응하고 있는가?</t>
  </si>
  <si>
    <t>- 고급 행동 분석 기능을 도입하고 있는가?</t>
  </si>
  <si>
    <t>- 비정상적인 사용자 활동 및 기기 동작을 더욱 정밀하게 탐지하고 있는가?</t>
  </si>
  <si>
    <t>- AI·ML을 활용하여 사용자 및 기기의 행동 패턴 학습하고 있는가?</t>
  </si>
  <si>
    <t>- 지속적으로 변화하는 패턴에 따라 실시간 대응하고 있는가?</t>
  </si>
  <si>
    <t>- AI 기반 자율형 사용자 및 기기 동작 분석 시스템 구축하고 있는가?</t>
  </si>
  <si>
    <t>- 비정상적인 행동 예측 및 선제 차단하고 있는가?</t>
  </si>
  <si>
    <t>- 보안 정책 자동으로 조정하여 최소 권한 부여하고 있는가?</t>
  </si>
  <si>
    <t>위협 인텔리전스 통합</t>
  </si>
  <si>
    <t>외부의 보안 위협 정보를 수집하고 이를 기업 내 보안 시스템에 적용하여 대응 능력을 향상시키는 기능이다. 위협 정보는 해커 IP, 악성 코드 해시, 취약점 정보 등 다양한 형태를 포함하며, 이를 통해 기업에서 발생할 수 있는 위협을 사전에 탐지하고 차단할 수 있다.</t>
  </si>
  <si>
    <t>- 자동화된 위협 인텔리전스 통합 도구 도입하고 있는가?</t>
  </si>
  <si>
    <t>- 외부에서 수집된 보안 정보를 실시간으로 내부 보안 시스템에 연동하고 있는가?</t>
  </si>
  <si>
    <t>- 위협 인텔리전스를 자동으로 업데이트를 통해 위협 탐지 및 차단 기능 강화하고 있는가?</t>
  </si>
  <si>
    <t>- 고급 위협 인텔리전스 통합 시스템을 통해 외부 위협 정보를 더욱 세밀하게 분석, 내부 보안 정책과 실시간 연계하고 있는가?</t>
  </si>
  <si>
    <t>- 위협 인텔리전스를 내부 시스템과 통합하고 있는가?</t>
  </si>
  <si>
    <t>- AI 기반의 위협 인텔리전스 시스템을 구축하고 있는가?</t>
  </si>
  <si>
    <t>- 외부 위협 정보를 실시간으로 수집, 분석, 적용하고 있는가?</t>
  </si>
  <si>
    <t>- 자율적으로 위협 인텔리전스를 기반으로 보안 정책 업데이트하고 있는가?</t>
  </si>
  <si>
    <t>자동화된 동적 정책</t>
  </si>
  <si>
    <t>실시간으로 발생하는 보안 이벤트 분석 결과를 기반으로 네트워크의 보안 정책을 자동으로 변경하는 기능이다. 이는 보안 이벤트나 비정상적인 활동이 감지되었을 때, 사전에 정의된 정책을 자동으로 적용하거나 새로운 정책을 실시간으로 생성하여 대응할 수 있다.</t>
  </si>
  <si>
    <t>- 자동화된 정책 관리 시스템 도입하고 있는가?</t>
  </si>
  <si>
    <t>- 보안 이벤트 발생 시 자동 정책 변경 및 적용하고 있는가?</t>
  </si>
  <si>
    <t>- 위험이 감지되면 사전 정의 정책 자동 실행하고 있는가?</t>
  </si>
  <si>
    <t>- 특정 정책을 실시간으로 조정하여, 보안 이벤트 발생 시 즉각적으로 새로운 정책을 생성하고 실행하고 있는가?</t>
  </si>
  <si>
    <t>- AI 기반의 자동화된 통찰 정책 시스템 구축하고 있는가?</t>
  </si>
  <si>
    <t>- 보안 이벤트 분석 결과에 따라 자율적 정책 조정하고 있는가?</t>
  </si>
  <si>
    <t>- 실시간으로 네트워크 보안 상태를 모니터링하며, 상황에 따라 정책을 유연하게 변경하고 있는가?</t>
  </si>
  <si>
    <t>자동화 및 통합</t>
  </si>
  <si>
    <t>정책 통합</t>
  </si>
  <si>
    <t>기업 내 보안 정책을 자동으로 조정하며, 여러 시스템과 네트워크 장비에 일관된 정책을 적용하는 기능이다. 실시간으로 보안 상황을 변경하거나 일관성 있게 적용하여 관련 보안 대응이 가능하게 한다.</t>
  </si>
  <si>
    <t>- 자동화된 정책 통합 시스템 도입하고 있는가?</t>
  </si>
  <si>
    <t>- 보안 정책을 중앙에서 관리하며 여러 시스템에 동시 적용하고 있는가?</t>
  </si>
  <si>
    <t>- 정책 통합 시스템을 고도화하여 실시간 보안 이벤트 기반 정책 조정하고 있는가?</t>
  </si>
  <si>
    <t>- 실시간에 따라 각 시스템으로 정책 수정/적용하는 자동화된 프로세스 구현하고 있는가?</t>
  </si>
  <si>
    <t>- AI 기반 자율 정책 통합 시스템 도입하고 있는가?</t>
  </si>
  <si>
    <t>- 보안 상황 분석 자동 조정하고 있는가?</t>
  </si>
  <si>
    <t>- 보안 이벤트를 실시간으로 분석하여 필요한 정책 변경을 자율적으로 수행하고 있는가?</t>
  </si>
  <si>
    <t>- 정책 적용이 모든 시스템에 빠르게 동기화하고 있는가?</t>
  </si>
  <si>
    <t>중요 프로세스 자동화</t>
  </si>
  <si>
    <t>보안 및 운영에 필요한 핵심 프로세스를 자동화하여, 업무의 효율성을 높이고 인적 오류를 최소화하는 것을 목표로 한다. 이는 중요한 시스템 이벤트 처리, 데이터 백업, 장애 대응 등의 프로세스를 포함한다.</t>
  </si>
  <si>
    <t>- 중요 프로세스에 대한 자동화 도구를 도입하고 있는가?</t>
  </si>
  <si>
    <t>- 반복적인 작업과 기본적인 보안 절차 자동으로 실행하고 있는가?</t>
  </si>
  <si>
    <t>- 데이터 백업 및 기본 장애 대응 프로세스 주요 업무 자동화하고 있는가?</t>
  </si>
  <si>
    <t>- 자동화된 프로세스를 확장하여, 보안 사고 발생 시 신속한 자동 대응하고 있는가?</t>
  </si>
  <si>
    <t>- AI를 활용하여 프로세스 전반을 실시간으로 최적화하고 있는가?</t>
  </si>
  <si>
    <t>- 이상 상황 발생 시 즉각 대응하고 있는가?</t>
  </si>
  <si>
    <t>- 자동화 시스템으로 모든 프로세스를 자율적으로 조정하고 있는가?</t>
  </si>
  <si>
    <t>- 업무 중요도에 맞게 프로세스를 자동으로 수행하고 있는가?</t>
  </si>
  <si>
    <t>인공지능</t>
  </si>
  <si>
    <t>보안 위협을 감지하고 분석하는 데 있어 인공지능을 활용하여, 네트워크와 시스템에서 발생하는 데이터를 기반으로 보안 결정을 자동화하는 기능을 제공한다.</t>
  </si>
  <si>
    <t>- 기본적인 AI 기반 도구를 도입하고 있는가?</t>
  </si>
  <si>
    <t>- 보안 데이터를 분석하고 패턴 식별하고 있는가?</t>
  </si>
  <si>
    <t>- 사건/보안 위협을 자동으로 탐지 및 경고 생성하고 있는가?</t>
  </si>
  <si>
    <t>- 기본적인 자동 대응 기능 구현하고 있는가?</t>
  </si>
  <si>
    <t>- AI 기반의 보안 시스템 고도화를 통한 실시간 위협 탐지 및 대응하고 있는가?</t>
  </si>
  <si>
    <t>N</t>
  </si>
  <si>
    <t>- AI는 복합적인 활동을 분석하여 보다 정교한 위협 탐지 및 실시간 대응 수행하고 있는가?</t>
  </si>
  <si>
    <t>- AI가 모든 보안 시스템에 완전히 통합하고 있는가?</t>
  </si>
  <si>
    <t>- 자율적으로 보안 위협을 감지하고 대응하며 정책을 지속적으로 조정하고 있는가?</t>
  </si>
  <si>
    <t>- AI는 데이터를 학습하여 지속적으로 보안을 강화하고 위협을 예측하고 있는가?</t>
  </si>
  <si>
    <t>보안 통합, 자동화 및 대응(SOAR)</t>
  </si>
  <si>
    <t>SOAR는 보안 이벤트에 대한 대응을 자동화하고, 여러 보안 도구와 시스템을 통합하여 협업적 대응을 수행하는 시스템이다. 이를 통해 기관은 보안 사고에 신속하게 대응하며 운영 효율성을 높일 수 있다.</t>
  </si>
  <si>
    <t>- SOAR 시스템 도입하고 있는가?</t>
  </si>
  <si>
    <t>- 보안 도구와 시스템을 통합하여, 기본적인 보안 이벤트 대응 자동화를 착수하고 있는가?</t>
  </si>
  <si>
    <t>- 보안 이벤트가 발생하면 여러 시스템에서 데이터를 수집하여 중앙에서 대응하고 있는가?</t>
  </si>
  <si>
    <t>- SOAR 시스템 고도화하고 있는가?</t>
  </si>
  <si>
    <t>- 반복적 보안 사고에 대해 자동화된 대응 시나리오 통합 수행하고 있는가?</t>
  </si>
  <si>
    <t>- 여러 도구와의 협력으로 신속하게 위협 대응하고 있는가?</t>
  </si>
  <si>
    <t>- AI·ML 기반 SOAR 시스템 구축하고 있는가?</t>
  </si>
  <si>
    <t>- 모든 보안 이벤트를 통합하여 자동으로 처리하고 있는가?</t>
  </si>
  <si>
    <t>- 대규모 환경에서 확장되어 기관 전반에서 보안 대응 가능하고 있는가?</t>
  </si>
  <si>
    <t>- 자동 통합을 통해 보안 사건 점검 및 분석 자동 수행하고 있는가?</t>
  </si>
  <si>
    <t>데이터 교환 표준화</t>
  </si>
  <si>
    <t>기업 내부에서 발생하는 다양한 데이터를 일관된 형식으로 관리하고, 보안 시스템 간의 호환성을 확보하는 과정이다. 이를 통해 여러 시스템에서 수집된 데이터를 통합적으로 분석하고, 보안 위협에 대응할 수 있다.</t>
  </si>
  <si>
    <t>- 데이터 교환 표준 도입하고 있는가?</t>
  </si>
  <si>
    <t>- 기업 내 모든 시스템에서 일관된 형식으로 데이터를 저장하고 공유하고 있는가?</t>
  </si>
  <si>
    <t>- 보안 시스템 간 데이터 교환 자동화하고 있는가?</t>
  </si>
  <si>
    <t>- 데이터 교환 표준화가 고도화되어, 다양한 외부 시스템 및 파트너와의 데이터 공유 가능하고 있는가?</t>
  </si>
  <si>
    <t>- 데이터 교환 절차 실시간 수행하고 있는가?</t>
  </si>
  <si>
    <t>- 여러 보안 도구 간의 상호 운용성 개선하고 있는가?</t>
  </si>
  <si>
    <t>- AI를 통해 데이터 교환 표준화 자동화 관리하고 있는가?</t>
  </si>
  <si>
    <t>- 외부 파트너와의 데이터 교환까지 실시간 자동화하고 있는가?</t>
  </si>
  <si>
    <t>- 모든 시스템에서 일관된 데이터 형식 유지하고 있는가?</t>
  </si>
  <si>
    <t>- 보안 위협 발생 시 실시간으로 데이터 교환 및 분석 수행하고 있는가?</t>
  </si>
  <si>
    <t>보안 운영 조정 및 사고 대응</t>
  </si>
  <si>
    <t>기업 내 보안 사고가 발생했을 때, 이를 신속하게 대응하고 기업 내 여러 부서가 조정하여 보안 문제를 해결하는 과정이다. 이를 통해 사고가 발생하더라도 피해를 최소화할 수 있다.</t>
  </si>
  <si>
    <t>- 보안 사고 대응 계획 수립하고 있는가?</t>
  </si>
  <si>
    <t>- 사고 대응 절차 표준화하고 있는가?</t>
  </si>
  <si>
    <t>- 기업 내 여러 부서와 효율적 협력하고 있는가?</t>
  </si>
  <si>
    <t>- 보안 사고가 발생 시 자동 경고 생성 및 보고하고 있는가?</t>
  </si>
  <si>
    <t>- 보안 탐지 결과 부서별 대응하고 있는가?</t>
  </si>
  <si>
    <t>- 사고 대응 절차 자동화하고 있는가?</t>
  </si>
  <si>
    <t>N-A</t>
  </si>
  <si>
    <t>- 보안 운영 팀과 다른 부서 간 실시간 조율하고 있는가?</t>
  </si>
  <si>
    <t>- 보안 사고가 발생하면 즉시 대응 팀이 경고를 받고 각 부서가 신속하게 협력하고 있는가?</t>
  </si>
  <si>
    <t>- 자동화된 보고 시스템을 통해 보안 사고 진행상황 지속 공유하고 있는가?</t>
  </si>
  <si>
    <t>- AI 기반 사고 대응 및 운영 조정 시스템 도입하고 있는가?</t>
  </si>
  <si>
    <t>- 보안 사고가 발생하기 전 예측하여 선제적 대응하고 있는가?</t>
  </si>
  <si>
    <t>- 사고 대응 절차 완전 자동화하고 있는가?</t>
  </si>
  <si>
    <t>- 보안 탐지 결과가 신속하고 일괄적으로 대응 수행하고 있는가?</t>
  </si>
  <si>
    <t>- 자동화된 조정 시스템을 통해 모든 관련 부서가 실시간 협력하고 있는가?</t>
  </si>
  <si>
    <t>- 대응 결과 즉시 보고하고 있는가?</t>
  </si>
  <si>
    <t>Init_N</t>
  </si>
  <si>
    <t>Imp_Y</t>
  </si>
  <si>
    <t>Imp_Total</t>
  </si>
  <si>
    <t>Opt_Y</t>
  </si>
  <si>
    <t>Opt_Total</t>
  </si>
  <si>
    <t>Weight</t>
  </si>
  <si>
    <t>Total</t>
  </si>
  <si>
    <t>FuncScore</t>
    <phoneticPr fontId="1" type="noConversion"/>
  </si>
  <si>
    <t>PillarScore</t>
    <phoneticPr fontId="1" type="noConversion"/>
  </si>
  <si>
    <t>SubFuncScore</t>
    <phoneticPr fontId="1" type="noConversion"/>
  </si>
  <si>
    <t>Answer</t>
    <phoneticPr fontId="1" type="noConversion"/>
  </si>
  <si>
    <t>자산가치 (0~1)</t>
  </si>
  <si>
    <t>총 합계</t>
  </si>
  <si>
    <t>기밀성 합계</t>
  </si>
  <si>
    <t>모든 설정과 정보를 백업해야 함 (3)</t>
  </si>
  <si>
    <t>중요 설정이나 정보만 백업하면 됨 (2)</t>
  </si>
  <si>
    <t>백업 필요 없음 (1)</t>
  </si>
  <si>
    <t>백업 필요성</t>
  </si>
  <si>
    <t>즉시 복구해야 함 (4)</t>
  </si>
  <si>
    <t>24시간 이내 복구해야 함 (3)</t>
  </si>
  <si>
    <t>1주일 이내 복구해야 함 (2)</t>
  </si>
  <si>
    <t>1개월 이내 복구해야 함 (1)</t>
  </si>
  <si>
    <t>복구 우선순위</t>
  </si>
  <si>
    <t>반드시 이중화가 필요함 (3)</t>
  </si>
  <si>
    <t>이중화가 필요하지만 다른 방식으로 해당 서비스나 정보를 이용할 수 있음 (2)</t>
  </si>
  <si>
    <t>이중화 필요 없음 (1)</t>
  </si>
  <si>
    <t>이중화 필요성</t>
  </si>
  <si>
    <t>외부 서비스 이용자 (3)</t>
  </si>
  <si>
    <t>내부 서비스 이용자 (2)</t>
  </si>
  <si>
    <t>문제없음 (1)</t>
  </si>
  <si>
    <t>가용성 침해 시 문제범위</t>
  </si>
  <si>
    <t>외부에 공개된 비즈니스 서비스 (4)</t>
  </si>
  <si>
    <t>내부에 공개된 비즈니스 서비스 (3)</t>
  </si>
  <si>
    <t>내부에 공개된 조직 운영 서비스 (2)</t>
  </si>
  <si>
    <t>외부에 공개된 비 비즈니스성 서비스 (1)</t>
  </si>
  <si>
    <t>서비스의 범위</t>
  </si>
  <si>
    <t>서비스는 반드시 가용성이 확보되어야 함 (3)</t>
  </si>
  <si>
    <t>서비스는 가용성이 일부 저해되어도 문제없음 (2)</t>
  </si>
  <si>
    <t>서비스가 중단되어도 문제없음 (1)</t>
  </si>
  <si>
    <t>서비스 가용성 확보 필요성</t>
  </si>
  <si>
    <t>가용성</t>
  </si>
  <si>
    <t xml:space="preserve">변조 혹은 파기되는 경우 반드시 복구되어야 함 (2) </t>
  </si>
  <si>
    <t>변조 혹은 파기되어도 문제가 없음 (1)</t>
  </si>
  <si>
    <t>복구 필요성</t>
  </si>
  <si>
    <t>변조 혹은 파기 기록은 반드시 남아야 함 (2)</t>
  </si>
  <si>
    <t>변조 혹은 파기 기록은 남기지 않아도 됨 (1)</t>
  </si>
  <si>
    <t>변조 및 파기 기록 필요성</t>
  </si>
  <si>
    <t>변조 혹은 파기되는 경우 악용될 수 있음 (2)</t>
  </si>
  <si>
    <t>변조 및 파기 시 악용 가능성</t>
  </si>
  <si>
    <t>변조 혹은 파기되지 않도록 해야 함 (2)</t>
  </si>
  <si>
    <t>변조 및 삭제 방지 필요성</t>
  </si>
  <si>
    <t>무결성</t>
  </si>
  <si>
    <t>내부에서 접근 시 인증이 필요함 (3)</t>
  </si>
  <si>
    <t>외부에서 접근 시 인증이 필요함 (2)</t>
  </si>
  <si>
    <t>접근 시 인증이 필요 없음 (1)</t>
  </si>
  <si>
    <t>접근 시 인증 필요</t>
  </si>
  <si>
    <t>내부인 중에서도 일부에게만 공개 가능한 기업정보 (4)</t>
  </si>
  <si>
    <t>내부에만 공개 가능한 기업정보 (3)</t>
  </si>
  <si>
    <t>외부의 일부에게 공개 가능한 기업정보 (2)</t>
  </si>
  <si>
    <t>이미 공개된 기업정보 (1)</t>
  </si>
  <si>
    <t>비즈니스 영향도</t>
  </si>
  <si>
    <t>모든 정보가 암호화되어야 함 (3)</t>
  </si>
  <si>
    <t>일부 정보가 암호화되어야 함 (2)</t>
  </si>
  <si>
    <t>암호화하지 않아도 됨 (1)</t>
  </si>
  <si>
    <t>암호화 필요성</t>
  </si>
  <si>
    <t xml:space="preserve">내부에서도 일부에게만 노출되어야 함 (4) </t>
  </si>
  <si>
    <t>내부에서만 노출되어야 함 (3)</t>
  </si>
  <si>
    <t>외부에서는 노출되지 않도록 해야 함 (2)</t>
  </si>
  <si>
    <t>내/외부 모두에서 노출되어도 됨 (1)</t>
  </si>
  <si>
    <t>노출 방지 필요성</t>
  </si>
  <si>
    <t>해당 자산은 기업이 취급하는 개인정보와 관련성이 있는가? (3)</t>
  </si>
  <si>
    <t xml:space="preserve">해당 자산은 기업의 민감한 내부 정보와 관련성이 있는가? (2) </t>
  </si>
  <si>
    <t>해당 자산은 기업의 공개 정보와 관련성이 있는가? (1)</t>
  </si>
  <si>
    <t>기밀정보와의 관련성</t>
  </si>
  <si>
    <t>내부의 극히 제한된 사용자에게만 공개 가능 (5)</t>
  </si>
  <si>
    <t>내부인 중에서도 특별히 허가된 사용자에게만 공개 가능 (4)</t>
  </si>
  <si>
    <t>내부의 허가된 사용자에게만 공개 가능 (3)</t>
  </si>
  <si>
    <t xml:space="preserve">외부의 허가된 권한자에게만 공개 가능 (2) </t>
  </si>
  <si>
    <t>내부/외부 모두 공개 가능 (1)</t>
  </si>
  <si>
    <t>해당 자산의 공개정도</t>
  </si>
  <si>
    <t>기밀성</t>
  </si>
  <si>
    <t>점수</t>
  </si>
  <si>
    <t>세부항목</t>
  </si>
  <si>
    <t>평가지표</t>
  </si>
  <si>
    <t>CIA 구분</t>
  </si>
  <si>
    <t>CIA 점수</t>
  </si>
  <si>
    <t>자산가치(0~1)</t>
  </si>
  <si>
    <t>합계</t>
  </si>
  <si>
    <t>[표 7]</t>
  </si>
  <si>
    <t>+</t>
  </si>
  <si>
    <t>유일·차별화된 제공 가치의 정도</t>
  </si>
  <si>
    <t>독창적 사업 이점</t>
  </si>
  <si>
    <t>다양한 형태로 가공·처리할 수 있는 능력</t>
  </si>
  <si>
    <t>가공 능력</t>
  </si>
  <si>
    <t>데이터를 자체 생성/조달할 수 있는 능력</t>
  </si>
  <si>
    <t>원천 수집 능력</t>
  </si>
  <si>
    <t>출시 이후 매출 성장 가능성</t>
  </si>
  <si>
    <t>매출성장성</t>
  </si>
  <si>
    <t>수익 창출이 지속 가능한 기간</t>
  </si>
  <si>
    <t>경제적 수명</t>
  </si>
  <si>
    <t>서비스가 수익을 창출할 수 있는 정도</t>
  </si>
  <si>
    <t>영업이익성</t>
  </si>
  <si>
    <t>사업화에 필요한 환경(인력·인프라 등)의 우호성</t>
  </si>
  <si>
    <t>사업화환경</t>
  </si>
  <si>
    <t>시장 진입 시 달성 가능한 점유율 기대</t>
  </si>
  <si>
    <t>예상 시장점유율</t>
  </si>
  <si>
    <t>경쟁 서비스 대비 경쟁우위 수준</t>
  </si>
  <si>
    <t>서비스(제품) 경쟁력</t>
  </si>
  <si>
    <t>사업성(0.15)</t>
  </si>
  <si>
    <t>[표 6]</t>
  </si>
  <si>
    <t>잠재 이용자의 관심·선호 수준</t>
  </si>
  <si>
    <t>이용관심도</t>
  </si>
  <si>
    <t>데이터 활용 시 사용자 편의성 향상 정도</t>
  </si>
  <si>
    <t>서비스(제품) 사용성</t>
  </si>
  <si>
    <t>-</t>
  </si>
  <si>
    <t>수요 변화에 대한 민감도(변동성)</t>
  </si>
  <si>
    <t>수요민감도</t>
  </si>
  <si>
    <t>출시 후 성장 가능성</t>
  </si>
  <si>
    <t>시장성장성</t>
  </si>
  <si>
    <t>목표 시장 내 경쟁 강도가 사업화에 미치는 영향</t>
  </si>
  <si>
    <t>시장경쟁강도</t>
  </si>
  <si>
    <t>서비스가 시장에 원활히 진입할 수 있는 정도</t>
  </si>
  <si>
    <t>시장진입 가능성</t>
  </si>
  <si>
    <t>시장성(0.20)</t>
  </si>
  <si>
    <t>[표 5]</t>
  </si>
  <si>
    <t>수집·이용·보호조치 등 법요건 부합 정도</t>
  </si>
  <si>
    <t>법적 안정성</t>
  </si>
  <si>
    <t>법적 특성(0.30)</t>
  </si>
  <si>
    <t>[표 3]</t>
  </si>
  <si>
    <t>대외 인지도·명성 수준</t>
  </si>
  <si>
    <t>인지도</t>
  </si>
  <si>
    <t>추가 소프트웨어 필요량/종속성 정도</t>
  </si>
  <si>
    <t>소프트웨어 의존성</t>
  </si>
  <si>
    <t>다른 데이터와의 결합 가능성</t>
  </si>
  <si>
    <t>결합가능성</t>
  </si>
  <si>
    <t>수집을 위해 요구되는 노력·비용·리스크의 정도</t>
  </si>
  <si>
    <t>수집복잡성</t>
  </si>
  <si>
    <t>세분화·구체화 수준</t>
  </si>
  <si>
    <t>상세성</t>
  </si>
  <si>
    <t>정의된 규칙·형식을 일관되게 따르는 정도</t>
  </si>
  <si>
    <t>일관성</t>
  </si>
  <si>
    <t>환경 변화에 따른 서비스 확장 적합성</t>
  </si>
  <si>
    <t>확장성</t>
  </si>
  <si>
    <t>기존 것을 새롭게 바꿀 수 있는 혁신의 정도</t>
  </si>
  <si>
    <t>혁신성</t>
  </si>
  <si>
    <t>필수 정보 누락 없이 충실히 포함된 정도</t>
  </si>
  <si>
    <t>완전성</t>
  </si>
  <si>
    <t>정제·가공 등 처리 진행 수준</t>
  </si>
  <si>
    <t>성숙도</t>
  </si>
  <si>
    <t>목적 대비 사실성·정확성 수준</t>
  </si>
  <si>
    <t>정확성</t>
  </si>
  <si>
    <t>데이터가 최신 상태를 유지하는 정도</t>
  </si>
  <si>
    <t>최신성</t>
  </si>
  <si>
    <t>도입 시 내부/타산업 확산 및 매출 파급 가능성</t>
  </si>
  <si>
    <t>활용성 및 파급성</t>
  </si>
  <si>
    <t>대체 가능한 유사 데이터의 존재 가능성</t>
  </si>
  <si>
    <t>대체가능성</t>
  </si>
  <si>
    <t>동일·유사 데이터와의 경쟁 압력 수준</t>
  </si>
  <si>
    <t>경쟁 강도</t>
  </si>
  <si>
    <t>데이터가 주기적으로 지속 생산·공급될 수 있는 정도</t>
  </si>
  <si>
    <t>지속가능성</t>
  </si>
  <si>
    <t>수집·가공 난이도와 접근성으로 인한 모방의 어려움 정도</t>
  </si>
  <si>
    <t>모방난이도</t>
  </si>
  <si>
    <t>유사 데이터 대비 품질·차별성의 우위 정도</t>
  </si>
  <si>
    <t>우수성</t>
  </si>
  <si>
    <t>데이터 특성(0.35)</t>
  </si>
  <si>
    <t>반영값(정규화×가중치)</t>
  </si>
  <si>
    <t>가중치</t>
  </si>
  <si>
    <t>정규화(부호 반영, 0.2~1.0)</t>
  </si>
  <si>
    <t>점수(1~5)</t>
  </si>
  <si>
    <t>문서 내 참조표</t>
  </si>
  <si>
    <t>가치 영향(부정/긍정)</t>
  </si>
  <si>
    <t>정의 (문서 기반)</t>
  </si>
  <si>
    <t>세부 영향요인</t>
  </si>
  <si>
    <t>평가 요인 (가중치)</t>
  </si>
  <si>
    <r>
      <t xml:space="preserve">최종 자산 중요도
</t>
    </r>
    <r>
      <rPr>
        <b/>
        <sz val="11"/>
        <color rgb="FF000000"/>
        <rFont val="맑은 고딕"/>
        <family val="3"/>
        <charset val="129"/>
      </rPr>
      <t>[CIA*0.6] + [자산가치*0.4]</t>
    </r>
  </si>
  <si>
    <t>자산가치 점수</t>
  </si>
  <si>
    <t>자산평균</t>
  </si>
  <si>
    <t>지속 개선, 완전 자동화 및 정책 기반 운영</t>
  </si>
  <si>
    <t>최적화(Optimized)</t>
  </si>
  <si>
    <t>0.81 ~ 1.00</t>
  </si>
  <si>
    <t>표준화된 절차 + 자동화 일부 적용</t>
  </si>
  <si>
    <t>향상(Advanced)</t>
  </si>
  <si>
    <t>0.56 ~ 0.80</t>
  </si>
  <si>
    <t>기초 통제 및 점검 절차 존재, 일부 수동 운영</t>
  </si>
  <si>
    <t>초기(Initial)</t>
  </si>
  <si>
    <t>0.26 ~ 0.55</t>
  </si>
  <si>
    <t>통제가 거의 없거나 관리 부재</t>
  </si>
  <si>
    <t>기존(Traditional)</t>
  </si>
  <si>
    <t>0.00 ~ 0.25</t>
  </si>
  <si>
    <t>의미</t>
  </si>
  <si>
    <t>성숙도 단계</t>
  </si>
  <si>
    <t>구간</t>
  </si>
  <si>
    <t>성숙도 수준점수 / (성숙도 수준점수 + 자산중요도)</t>
    <phoneticPr fontId="1" type="noConversion"/>
  </si>
  <si>
    <t>제로트러스트 최종점수 = 성숙도 수준점수 / (성숙도 수준점수 + 자산중요도) × 1/(1 + 위험지수)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</si>
</sst>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sz val="8"/>
      <name val="맑은 고딕"/>
      <family val="3"/>
      <charset val="129"/>
      <scheme val="minor"/>
    </font>
    <font>
      <b/>
      <sz val="11"/>
      <color theme="0"/>
      <name val="맑은 고딕"/>
      <family val="3"/>
      <charset val="129"/>
      <scheme val="minor"/>
    </font>
    <font>
      <sz val="11"/>
      <color rgb="FF000000"/>
      <name val="맑은 고딕"/>
      <family val="3"/>
      <charset val="129"/>
    </font>
    <font>
      <b/>
      <sz val="11"/>
      <color rgb="FF000000"/>
      <name val="맑은 고딕"/>
      <family val="3"/>
      <charset val="129"/>
    </font>
    <font>
      <b/>
      <sz val="14"/>
      <color rgb="FF000000"/>
      <name val="맑은 고딕"/>
      <family val="3"/>
      <charset val="129"/>
    </font>
    <font>
      <b/>
      <sz val="11"/>
      <color theme="1"/>
      <name val="맑은 고딕"/>
      <family val="3"/>
      <charset val="129"/>
      <scheme val="minor"/>
    </font>
    <font>
      <sz val="11"/>
      <color theme="1"/>
      <name val="맑은 고딕"/>
      <family val="3"/>
      <charset val="129"/>
      <scheme val="minor"/>
    </font>
  </fonts>
  <fills count="10">
    <fill>
      <patternFill patternType="none"/>
    </fill>
    <fill>
      <patternFill patternType="gray125"/>
    </fill>
    <fill>
      <patternFill patternType="solid">
        <fgColor rgb="FF073763"/>
        <bgColor indexed="64"/>
      </patternFill>
    </fill>
    <fill>
      <patternFill patternType="solid">
        <fgColor rgb="FFC6EFCE"/>
      </patternFill>
    </fill>
    <fill>
      <patternFill patternType="solid">
        <fgColor rgb="FFFFFF00"/>
        <bgColor indexed="64"/>
      </patternFill>
    </fill>
    <fill>
      <patternFill patternType="solid">
        <fgColor rgb="FFBFBFBF"/>
        <bgColor indexed="64"/>
      </patternFill>
    </fill>
    <fill>
      <patternFill patternType="solid">
        <fgColor rgb="FFDCE6F2"/>
        <bgColor indexed="64"/>
      </patternFill>
    </fill>
    <fill>
      <patternFill patternType="solid">
        <fgColor rgb="FFE6F2FF"/>
        <bgColor indexed="64"/>
      </patternFill>
    </fill>
    <fill>
      <patternFill patternType="solid">
        <fgColor rgb="FFFFFFFF"/>
        <bgColor indexed="64"/>
      </patternFill>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s>
  <cellStyleXfs count="4">
    <xf numFmtId="0" fontId="0" fillId="0" borderId="0"/>
    <xf numFmtId="0" fontId="3" fillId="0" borderId="5" xfId="0" applyBorder="1" applyAlignment="1">
      <alignment horizontal="center" vertical="center"/>
    </xf>
    <xf numFmtId="0" fontId="3" fillId="0" borderId="0">
      <alignment vertical="center"/>
    </xf>
    <xf numFmtId="0" fontId="3" fillId="0" borderId="0"/>
  </cellStyleXfs>
  <cellXfs count="56">
    <xf numFmtId="0" fontId="0" fillId="0" borderId="0" xfId="0"/>
    <xf numFmtId="0" fontId="2" fillId="2"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2" fillId="2" borderId="1" xfId="0" applyFont="1" applyFill="1" applyBorder="1" applyAlignment="1">
      <alignment horizontal="center" vertical="top"/>
    </xf>
    <xf numFmtId="0" fontId="3" fillId="0" borderId="0" xfId="2" applyAlignment="1"/>
    <xf numFmtId="2" fontId="3" fillId="0" borderId="0" xfId="2" applyNumberFormat="1" applyAlignment="1"/>
    <xf numFmtId="0" fontId="3" fillId="0" borderId="0" xfId="2" applyAlignment="1">
      <alignment horizontal="center" vertical="center"/>
    </xf>
    <xf numFmtId="0" fontId="3" fillId="0" borderId="1" xfId="2" applyBorder="1" applyAlignment="1"/>
    <xf numFmtId="0" fontId="3" fillId="0" borderId="1" xfId="2" applyBorder="1">
      <alignment vertical="center"/>
    </xf>
    <xf numFmtId="0" fontId="3" fillId="0" borderId="5" xfId="2" applyBorder="1" applyAlignment="1">
      <alignment horizontal="center" vertical="center"/>
    </xf>
    <xf numFmtId="0" fontId="4" fillId="5" borderId="1" xfId="2" applyFont="1" applyFill="1" applyBorder="1" applyAlignment="1"/>
    <xf numFmtId="2" fontId="3" fillId="0" borderId="1" xfId="2" applyNumberFormat="1" applyBorder="1" applyAlignment="1"/>
    <xf numFmtId="0" fontId="3" fillId="0" borderId="0" xfId="2" applyAlignment="1">
      <alignment horizontal="center"/>
    </xf>
    <xf numFmtId="0" fontId="4" fillId="0" borderId="0" xfId="2" applyFont="1" applyAlignment="1">
      <alignment horizontal="center" vertical="center"/>
    </xf>
    <xf numFmtId="0" fontId="4" fillId="5" borderId="1" xfId="2" applyFont="1" applyFill="1" applyBorder="1" applyAlignment="1">
      <alignment horizontal="center" vertical="center"/>
    </xf>
    <xf numFmtId="2" fontId="3" fillId="0" borderId="1" xfId="2" applyNumberFormat="1" applyBorder="1">
      <alignment vertical="center"/>
    </xf>
    <xf numFmtId="0" fontId="3" fillId="4" borderId="1" xfId="2" applyFill="1" applyBorder="1" applyAlignment="1">
      <alignment vertical="center" wrapText="1"/>
    </xf>
    <xf numFmtId="2" fontId="0" fillId="3" borderId="1" xfId="1" applyNumberFormat="1" applyFill="1"/>
    <xf numFmtId="0" fontId="3" fillId="0" borderId="1" xfId="2" applyBorder="1" applyAlignment="1">
      <alignment vertical="center" wrapText="1"/>
    </xf>
    <xf numFmtId="0" fontId="3" fillId="0" borderId="1" xfId="2" applyBorder="1" applyAlignment="1">
      <alignment horizontal="center" vertical="center" wrapText="1"/>
    </xf>
    <xf numFmtId="0" fontId="4" fillId="7" borderId="1" xfId="2" applyFont="1" applyFill="1" applyBorder="1" applyAlignment="1">
      <alignment horizontal="center" vertical="center" wrapText="1"/>
    </xf>
    <xf numFmtId="0" fontId="3" fillId="0" borderId="0" xfId="2" applyAlignment="1">
      <alignment vertical="center" wrapText="1"/>
    </xf>
    <xf numFmtId="0" fontId="3" fillId="8" borderId="0" xfId="2" applyFill="1" applyAlignment="1">
      <alignment vertical="center" wrapText="1"/>
    </xf>
    <xf numFmtId="0" fontId="3" fillId="8" borderId="0" xfId="2" applyFill="1" applyAlignment="1">
      <alignment horizontal="center" vertical="center" wrapText="1"/>
    </xf>
    <xf numFmtId="0" fontId="4" fillId="8" borderId="0" xfId="2" applyFont="1" applyFill="1" applyAlignment="1">
      <alignment horizontal="center" vertical="center" wrapText="1"/>
    </xf>
    <xf numFmtId="0" fontId="0" fillId="0" borderId="1" xfId="1"/>
    <xf numFmtId="0" fontId="0" fillId="3" borderId="1" xfId="1" applyFill="1"/>
    <xf numFmtId="0" fontId="0" fillId="0" borderId="0" xfId="1" applyBorder="1"/>
    <xf numFmtId="0" fontId="0" fillId="0" borderId="0" xfId="1" applyBorder="1" applyAlignment="1">
      <alignment vertical="center"/>
    </xf>
    <xf numFmtId="0" fontId="3" fillId="0" borderId="7" xfId="2" applyBorder="1" applyAlignment="1">
      <alignment horizontal="center" vertical="center"/>
    </xf>
    <xf numFmtId="0" fontId="3" fillId="0" borderId="6" xfId="2" applyBorder="1" applyAlignment="1">
      <alignment horizontal="center" vertical="center"/>
    </xf>
    <xf numFmtId="0" fontId="5" fillId="6" borderId="13" xfId="2" applyFont="1" applyFill="1" applyBorder="1" applyAlignment="1">
      <alignment horizontal="center" vertical="center"/>
    </xf>
    <xf numFmtId="0" fontId="5" fillId="6" borderId="12" xfId="2" applyFont="1" applyFill="1" applyBorder="1" applyAlignment="1">
      <alignment horizontal="center" vertical="center"/>
    </xf>
    <xf numFmtId="0" fontId="5" fillId="6" borderId="11" xfId="2" applyFont="1" applyFill="1" applyBorder="1" applyAlignment="1">
      <alignment horizontal="center" vertical="center"/>
    </xf>
    <xf numFmtId="0" fontId="5" fillId="6" borderId="10" xfId="2" applyFont="1" applyFill="1" applyBorder="1" applyAlignment="1">
      <alignment horizontal="center" vertical="center"/>
    </xf>
    <xf numFmtId="0" fontId="5" fillId="6" borderId="9" xfId="2" applyFont="1" applyFill="1" applyBorder="1" applyAlignment="1">
      <alignment horizontal="center" vertical="center"/>
    </xf>
    <xf numFmtId="0" fontId="5" fillId="6" borderId="8" xfId="2" applyFont="1" applyFill="1" applyBorder="1" applyAlignment="1">
      <alignment horizontal="center" vertical="center"/>
    </xf>
    <xf numFmtId="0" fontId="3" fillId="0" borderId="12" xfId="2" applyBorder="1" applyAlignment="1">
      <alignment horizontal="center" vertical="center"/>
    </xf>
    <xf numFmtId="0" fontId="3" fillId="0" borderId="0" xfId="2" applyAlignment="1">
      <alignment horizontal="center" vertical="center"/>
    </xf>
    <xf numFmtId="0" fontId="3" fillId="0" borderId="9" xfId="2" applyBorder="1" applyAlignment="1">
      <alignment horizontal="center" vertical="center"/>
    </xf>
    <xf numFmtId="0" fontId="4" fillId="4" borderId="4" xfId="2" applyFont="1" applyFill="1" applyBorder="1" applyAlignment="1">
      <alignment horizontal="center" vertical="center"/>
    </xf>
    <xf numFmtId="0" fontId="4" fillId="4" borderId="3" xfId="2" applyFont="1" applyFill="1" applyBorder="1" applyAlignment="1">
      <alignment horizontal="center" vertical="center"/>
    </xf>
    <xf numFmtId="0" fontId="4" fillId="4" borderId="2" xfId="2" applyFont="1" applyFill="1" applyBorder="1" applyAlignment="1">
      <alignment horizontal="center" vertical="center"/>
    </xf>
    <xf numFmtId="0" fontId="4" fillId="5" borderId="4" xfId="2" applyFont="1" applyFill="1" applyBorder="1" applyAlignment="1">
      <alignment horizontal="center" vertical="center"/>
    </xf>
    <xf numFmtId="0" fontId="4" fillId="5" borderId="3" xfId="2" applyFont="1" applyFill="1" applyBorder="1" applyAlignment="1">
      <alignment horizontal="center" vertical="center"/>
    </xf>
    <xf numFmtId="0" fontId="4" fillId="5" borderId="2" xfId="2" applyFont="1" applyFill="1" applyBorder="1" applyAlignment="1">
      <alignment horizontal="center" vertical="center"/>
    </xf>
    <xf numFmtId="0" fontId="4" fillId="4" borderId="4" xfId="2" applyFont="1" applyFill="1" applyBorder="1" applyAlignment="1">
      <alignment horizontal="center"/>
    </xf>
    <xf numFmtId="0" fontId="4" fillId="4" borderId="3" xfId="2" applyFont="1" applyFill="1" applyBorder="1" applyAlignment="1">
      <alignment horizontal="center"/>
    </xf>
    <xf numFmtId="0" fontId="4" fillId="4" borderId="2" xfId="2" applyFont="1" applyFill="1" applyBorder="1" applyAlignment="1">
      <alignment horizontal="center"/>
    </xf>
    <xf numFmtId="0" fontId="3" fillId="7" borderId="4" xfId="2" applyFill="1" applyBorder="1" applyAlignment="1">
      <alignment horizontal="center" vertical="center"/>
    </xf>
    <xf numFmtId="0" fontId="3" fillId="7" borderId="3" xfId="2" applyFill="1" applyBorder="1" applyAlignment="1">
      <alignment horizontal="center" vertical="center"/>
    </xf>
    <xf numFmtId="0" fontId="3" fillId="7" borderId="2" xfId="2" applyFill="1" applyBorder="1" applyAlignment="1">
      <alignment horizontal="center" vertical="center"/>
    </xf>
    <xf numFmtId="0" fontId="6" fillId="9" borderId="1" xfId="0" applyFont="1" applyFill="1" applyBorder="1" applyAlignment="1">
      <alignment horizontal="center"/>
    </xf>
    <xf numFmtId="0" fontId="7" fillId="9" borderId="1" xfId="0" applyFont="1" applyFill="1" applyBorder="1" applyAlignment="1">
      <alignment horizontal="center"/>
    </xf>
  </cellXfs>
  <cellStyles count="3">
    <cellStyle name="표준" xfId="0" builtinId="0"/>
    <cellStyle name="표준 2" xfId="2" xr:uid="{CFE40BA1-096B-4465-8B38-A09025FEB090}"/>
    <cellStyle name="표준 3" xfId="3" xr:uid="{E4C0EA6C-CABD-4ADE-A595-74C1C9165A01}"/>
  </cellStyles>
  <dxfs count="2">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5"/>
  <sheetViews>
    <sheetView topLeftCell="A592" workbookViewId="0">
      <selection activeCell="B9" sqref="B9"/>
    </sheetView>
  </sheetViews>
  <sheetFormatPr defaultRowHeight="17" x14ac:dyDescent="0.45"/>
  <cols>
    <col min="1" max="1" width="22.58203125" customWidth="1"/>
    <col min="2" max="2" width="26.83203125" customWidth="1"/>
    <col min="3" max="3" width="32.08203125" customWidth="1"/>
    <col min="4" max="4" width="38.9140625" customWidth="1"/>
    <col min="5" max="5" width="7.08203125" style="4" customWidth="1"/>
    <col min="6" max="6" width="56.4140625" customWidth="1"/>
    <col min="7" max="7" width="6.6640625" style="4" customWidth="1"/>
    <col min="8" max="8" width="6.08203125" style="4" customWidth="1"/>
  </cols>
  <sheetData>
    <row r="1" spans="1:8" x14ac:dyDescent="0.45">
      <c r="A1" s="5" t="s">
        <v>0</v>
      </c>
      <c r="B1" s="5" t="s">
        <v>1</v>
      </c>
      <c r="C1" s="5" t="s">
        <v>2</v>
      </c>
      <c r="D1" s="5" t="s">
        <v>3</v>
      </c>
      <c r="E1" s="5" t="s">
        <v>4</v>
      </c>
      <c r="F1" s="5" t="s">
        <v>5</v>
      </c>
      <c r="G1" s="5" t="s">
        <v>535</v>
      </c>
      <c r="H1" s="5" t="s">
        <v>6</v>
      </c>
    </row>
    <row r="2" spans="1:8" x14ac:dyDescent="0.45">
      <c r="A2" s="55" t="s">
        <v>7</v>
      </c>
      <c r="B2" s="55" t="s">
        <v>8</v>
      </c>
      <c r="C2" s="55" t="s">
        <v>9</v>
      </c>
      <c r="D2" s="55" t="s">
        <v>10</v>
      </c>
      <c r="E2" s="55" t="s">
        <v>11</v>
      </c>
      <c r="F2" s="55" t="s">
        <v>12</v>
      </c>
      <c r="G2" s="2" t="s">
        <v>13</v>
      </c>
      <c r="H2" s="2">
        <f t="shared" ref="H2:H65" si="0">IF(G2="Y",1,IF(G2="N",0,""))</f>
        <v>1</v>
      </c>
    </row>
    <row r="3" spans="1:8" x14ac:dyDescent="0.45">
      <c r="A3" s="55" t="s">
        <v>7</v>
      </c>
      <c r="B3" s="55" t="s">
        <v>8</v>
      </c>
      <c r="C3" s="55" t="s">
        <v>9</v>
      </c>
      <c r="D3" s="55" t="s">
        <v>10</v>
      </c>
      <c r="E3" s="55" t="s">
        <v>11</v>
      </c>
      <c r="F3" s="55" t="s">
        <v>14</v>
      </c>
      <c r="G3" s="2" t="s">
        <v>13</v>
      </c>
      <c r="H3" s="2">
        <f t="shared" si="0"/>
        <v>1</v>
      </c>
    </row>
    <row r="4" spans="1:8" x14ac:dyDescent="0.45">
      <c r="A4" s="55" t="s">
        <v>7</v>
      </c>
      <c r="B4" s="55" t="s">
        <v>8</v>
      </c>
      <c r="C4" s="55" t="s">
        <v>9</v>
      </c>
      <c r="D4" s="55" t="s">
        <v>10</v>
      </c>
      <c r="E4" s="55" t="s">
        <v>15</v>
      </c>
      <c r="F4" s="55" t="s">
        <v>16</v>
      </c>
      <c r="G4" s="2" t="s">
        <v>478</v>
      </c>
      <c r="H4" s="2">
        <f t="shared" si="0"/>
        <v>0</v>
      </c>
    </row>
    <row r="5" spans="1:8" x14ac:dyDescent="0.45">
      <c r="A5" s="55" t="s">
        <v>7</v>
      </c>
      <c r="B5" s="55" t="s">
        <v>8</v>
      </c>
      <c r="C5" s="55" t="s">
        <v>9</v>
      </c>
      <c r="D5" s="55" t="s">
        <v>10</v>
      </c>
      <c r="E5" s="55" t="s">
        <v>15</v>
      </c>
      <c r="F5" s="55" t="s">
        <v>17</v>
      </c>
      <c r="G5" s="2" t="s">
        <v>478</v>
      </c>
      <c r="H5" s="2">
        <f t="shared" si="0"/>
        <v>0</v>
      </c>
    </row>
    <row r="6" spans="1:8" x14ac:dyDescent="0.45">
      <c r="A6" s="55" t="s">
        <v>7</v>
      </c>
      <c r="B6" s="55" t="s">
        <v>8</v>
      </c>
      <c r="C6" s="55" t="s">
        <v>9</v>
      </c>
      <c r="D6" s="55" t="s">
        <v>10</v>
      </c>
      <c r="E6" s="55" t="s">
        <v>15</v>
      </c>
      <c r="F6" s="55" t="s">
        <v>18</v>
      </c>
      <c r="G6" s="2" t="s">
        <v>478</v>
      </c>
      <c r="H6" s="2">
        <f t="shared" si="0"/>
        <v>0</v>
      </c>
    </row>
    <row r="7" spans="1:8" x14ac:dyDescent="0.45">
      <c r="A7" s="55" t="s">
        <v>7</v>
      </c>
      <c r="B7" s="55" t="s">
        <v>8</v>
      </c>
      <c r="C7" s="55" t="s">
        <v>9</v>
      </c>
      <c r="D7" s="55" t="s">
        <v>10</v>
      </c>
      <c r="E7" s="55" t="s">
        <v>19</v>
      </c>
      <c r="F7" s="55" t="s">
        <v>20</v>
      </c>
      <c r="G7" s="2" t="s">
        <v>478</v>
      </c>
      <c r="H7" s="2">
        <f t="shared" si="0"/>
        <v>0</v>
      </c>
    </row>
    <row r="8" spans="1:8" x14ac:dyDescent="0.45">
      <c r="A8" s="55" t="s">
        <v>7</v>
      </c>
      <c r="B8" s="55" t="s">
        <v>8</v>
      </c>
      <c r="C8" s="55" t="s">
        <v>9</v>
      </c>
      <c r="D8" s="55" t="s">
        <v>10</v>
      </c>
      <c r="E8" s="55" t="s">
        <v>19</v>
      </c>
      <c r="F8" s="55" t="s">
        <v>21</v>
      </c>
      <c r="G8" s="2" t="s">
        <v>478</v>
      </c>
      <c r="H8" s="2">
        <f t="shared" si="0"/>
        <v>0</v>
      </c>
    </row>
    <row r="9" spans="1:8" x14ac:dyDescent="0.45">
      <c r="A9" s="55" t="s">
        <v>7</v>
      </c>
      <c r="B9" s="55" t="s">
        <v>8</v>
      </c>
      <c r="C9" s="55" t="s">
        <v>22</v>
      </c>
      <c r="D9" s="55" t="s">
        <v>23</v>
      </c>
      <c r="E9" s="55" t="s">
        <v>11</v>
      </c>
      <c r="F9" s="55" t="s">
        <v>24</v>
      </c>
      <c r="G9" s="2" t="s">
        <v>478</v>
      </c>
      <c r="H9" s="2">
        <f t="shared" si="0"/>
        <v>0</v>
      </c>
    </row>
    <row r="10" spans="1:8" x14ac:dyDescent="0.45">
      <c r="A10" s="55" t="s">
        <v>7</v>
      </c>
      <c r="B10" s="55" t="s">
        <v>8</v>
      </c>
      <c r="C10" s="55" t="s">
        <v>22</v>
      </c>
      <c r="D10" s="55" t="s">
        <v>23</v>
      </c>
      <c r="E10" s="55" t="s">
        <v>11</v>
      </c>
      <c r="F10" s="55" t="s">
        <v>25</v>
      </c>
      <c r="G10" s="2" t="s">
        <v>478</v>
      </c>
      <c r="H10" s="2">
        <f t="shared" si="0"/>
        <v>0</v>
      </c>
    </row>
    <row r="11" spans="1:8" x14ac:dyDescent="0.45">
      <c r="A11" s="55" t="s">
        <v>7</v>
      </c>
      <c r="B11" s="55" t="s">
        <v>8</v>
      </c>
      <c r="C11" s="55" t="s">
        <v>22</v>
      </c>
      <c r="D11" s="55" t="s">
        <v>23</v>
      </c>
      <c r="E11" s="55" t="s">
        <v>15</v>
      </c>
      <c r="F11" s="55" t="s">
        <v>26</v>
      </c>
      <c r="G11" s="2" t="s">
        <v>478</v>
      </c>
      <c r="H11" s="2">
        <f t="shared" si="0"/>
        <v>0</v>
      </c>
    </row>
    <row r="12" spans="1:8" x14ac:dyDescent="0.45">
      <c r="A12" s="55" t="s">
        <v>7</v>
      </c>
      <c r="B12" s="55" t="s">
        <v>8</v>
      </c>
      <c r="C12" s="55" t="s">
        <v>22</v>
      </c>
      <c r="D12" s="55" t="s">
        <v>23</v>
      </c>
      <c r="E12" s="55" t="s">
        <v>15</v>
      </c>
      <c r="F12" s="55" t="s">
        <v>27</v>
      </c>
      <c r="G12" s="2" t="s">
        <v>478</v>
      </c>
      <c r="H12" s="2">
        <f t="shared" si="0"/>
        <v>0</v>
      </c>
    </row>
    <row r="13" spans="1:8" x14ac:dyDescent="0.45">
      <c r="A13" s="55" t="s">
        <v>7</v>
      </c>
      <c r="B13" s="55" t="s">
        <v>8</v>
      </c>
      <c r="C13" s="55" t="s">
        <v>22</v>
      </c>
      <c r="D13" s="55" t="s">
        <v>23</v>
      </c>
      <c r="E13" s="55" t="s">
        <v>19</v>
      </c>
      <c r="F13" s="55" t="s">
        <v>28</v>
      </c>
      <c r="G13" s="2" t="s">
        <v>478</v>
      </c>
      <c r="H13" s="2">
        <f t="shared" si="0"/>
        <v>0</v>
      </c>
    </row>
    <row r="14" spans="1:8" x14ac:dyDescent="0.45">
      <c r="A14" s="55" t="s">
        <v>7</v>
      </c>
      <c r="B14" s="55" t="s">
        <v>8</v>
      </c>
      <c r="C14" s="55" t="s">
        <v>22</v>
      </c>
      <c r="D14" s="55" t="s">
        <v>23</v>
      </c>
      <c r="E14" s="55" t="s">
        <v>19</v>
      </c>
      <c r="F14" s="55" t="s">
        <v>29</v>
      </c>
      <c r="G14" s="2" t="s">
        <v>478</v>
      </c>
      <c r="H14" s="2">
        <f t="shared" si="0"/>
        <v>0</v>
      </c>
    </row>
    <row r="15" spans="1:8" x14ac:dyDescent="0.45">
      <c r="A15" s="55" t="s">
        <v>7</v>
      </c>
      <c r="B15" s="55" t="s">
        <v>30</v>
      </c>
      <c r="C15" s="55" t="s">
        <v>31</v>
      </c>
      <c r="D15" s="55" t="s">
        <v>32</v>
      </c>
      <c r="E15" s="55" t="s">
        <v>11</v>
      </c>
      <c r="F15" s="55" t="s">
        <v>33</v>
      </c>
      <c r="G15" s="2" t="s">
        <v>478</v>
      </c>
      <c r="H15" s="2">
        <f t="shared" si="0"/>
        <v>0</v>
      </c>
    </row>
    <row r="16" spans="1:8" x14ac:dyDescent="0.45">
      <c r="A16" s="55" t="s">
        <v>7</v>
      </c>
      <c r="B16" s="55" t="s">
        <v>30</v>
      </c>
      <c r="C16" s="55" t="s">
        <v>31</v>
      </c>
      <c r="D16" s="55" t="s">
        <v>32</v>
      </c>
      <c r="E16" s="55" t="s">
        <v>11</v>
      </c>
      <c r="F16" s="55" t="s">
        <v>34</v>
      </c>
      <c r="G16" s="2" t="s">
        <v>478</v>
      </c>
      <c r="H16" s="2">
        <f t="shared" si="0"/>
        <v>0</v>
      </c>
    </row>
    <row r="17" spans="1:8" x14ac:dyDescent="0.45">
      <c r="A17" s="55" t="s">
        <v>7</v>
      </c>
      <c r="B17" s="55" t="s">
        <v>30</v>
      </c>
      <c r="C17" s="55" t="s">
        <v>31</v>
      </c>
      <c r="D17" s="55" t="s">
        <v>32</v>
      </c>
      <c r="E17" s="55" t="s">
        <v>11</v>
      </c>
      <c r="F17" s="55" t="s">
        <v>35</v>
      </c>
      <c r="G17" s="2" t="s">
        <v>478</v>
      </c>
      <c r="H17" s="2">
        <f t="shared" si="0"/>
        <v>0</v>
      </c>
    </row>
    <row r="18" spans="1:8" x14ac:dyDescent="0.45">
      <c r="A18" s="55" t="s">
        <v>7</v>
      </c>
      <c r="B18" s="55" t="s">
        <v>30</v>
      </c>
      <c r="C18" s="55" t="s">
        <v>31</v>
      </c>
      <c r="D18" s="55" t="s">
        <v>32</v>
      </c>
      <c r="E18" s="55" t="s">
        <v>15</v>
      </c>
      <c r="F18" s="55" t="s">
        <v>36</v>
      </c>
      <c r="G18" s="2" t="s">
        <v>478</v>
      </c>
      <c r="H18" s="2">
        <f t="shared" si="0"/>
        <v>0</v>
      </c>
    </row>
    <row r="19" spans="1:8" x14ac:dyDescent="0.45">
      <c r="A19" s="55" t="s">
        <v>7</v>
      </c>
      <c r="B19" s="55" t="s">
        <v>30</v>
      </c>
      <c r="C19" s="55" t="s">
        <v>31</v>
      </c>
      <c r="D19" s="55" t="s">
        <v>32</v>
      </c>
      <c r="E19" s="55" t="s">
        <v>15</v>
      </c>
      <c r="F19" s="55" t="s">
        <v>37</v>
      </c>
      <c r="G19" s="2" t="s">
        <v>478</v>
      </c>
      <c r="H19" s="2">
        <f t="shared" si="0"/>
        <v>0</v>
      </c>
    </row>
    <row r="20" spans="1:8" x14ac:dyDescent="0.45">
      <c r="A20" s="55" t="s">
        <v>7</v>
      </c>
      <c r="B20" s="55" t="s">
        <v>30</v>
      </c>
      <c r="C20" s="55" t="s">
        <v>31</v>
      </c>
      <c r="D20" s="55" t="s">
        <v>32</v>
      </c>
      <c r="E20" s="55" t="s">
        <v>15</v>
      </c>
      <c r="F20" s="55" t="s">
        <v>38</v>
      </c>
      <c r="G20" s="2" t="s">
        <v>13</v>
      </c>
      <c r="H20" s="2">
        <f t="shared" si="0"/>
        <v>1</v>
      </c>
    </row>
    <row r="21" spans="1:8" x14ac:dyDescent="0.45">
      <c r="A21" s="55" t="s">
        <v>7</v>
      </c>
      <c r="B21" s="55" t="s">
        <v>30</v>
      </c>
      <c r="C21" s="55" t="s">
        <v>31</v>
      </c>
      <c r="D21" s="55" t="s">
        <v>32</v>
      </c>
      <c r="E21" s="55" t="s">
        <v>19</v>
      </c>
      <c r="F21" s="55" t="s">
        <v>39</v>
      </c>
      <c r="G21" s="2" t="s">
        <v>13</v>
      </c>
      <c r="H21" s="2">
        <f t="shared" si="0"/>
        <v>1</v>
      </c>
    </row>
    <row r="22" spans="1:8" x14ac:dyDescent="0.45">
      <c r="A22" s="55" t="s">
        <v>7</v>
      </c>
      <c r="B22" s="55" t="s">
        <v>30</v>
      </c>
      <c r="C22" s="55" t="s">
        <v>31</v>
      </c>
      <c r="D22" s="55" t="s">
        <v>32</v>
      </c>
      <c r="E22" s="55" t="s">
        <v>19</v>
      </c>
      <c r="F22" s="55" t="s">
        <v>40</v>
      </c>
      <c r="G22" s="2" t="s">
        <v>13</v>
      </c>
      <c r="H22" s="2">
        <f t="shared" si="0"/>
        <v>1</v>
      </c>
    </row>
    <row r="23" spans="1:8" x14ac:dyDescent="0.45">
      <c r="A23" s="55" t="s">
        <v>7</v>
      </c>
      <c r="B23" s="55" t="s">
        <v>30</v>
      </c>
      <c r="C23" s="55" t="s">
        <v>31</v>
      </c>
      <c r="D23" s="55" t="s">
        <v>32</v>
      </c>
      <c r="E23" s="55" t="s">
        <v>19</v>
      </c>
      <c r="F23" s="55" t="s">
        <v>41</v>
      </c>
      <c r="G23" s="2" t="s">
        <v>13</v>
      </c>
      <c r="H23" s="2">
        <f t="shared" si="0"/>
        <v>1</v>
      </c>
    </row>
    <row r="24" spans="1:8" x14ac:dyDescent="0.45">
      <c r="A24" s="55" t="s">
        <v>7</v>
      </c>
      <c r="B24" s="55" t="s">
        <v>30</v>
      </c>
      <c r="C24" s="55" t="s">
        <v>42</v>
      </c>
      <c r="D24" s="55" t="s">
        <v>43</v>
      </c>
      <c r="E24" s="55" t="s">
        <v>11</v>
      </c>
      <c r="F24" s="55" t="s">
        <v>44</v>
      </c>
      <c r="G24" s="2" t="s">
        <v>13</v>
      </c>
      <c r="H24" s="2">
        <f t="shared" si="0"/>
        <v>1</v>
      </c>
    </row>
    <row r="25" spans="1:8" x14ac:dyDescent="0.45">
      <c r="A25" s="55" t="s">
        <v>7</v>
      </c>
      <c r="B25" s="55" t="s">
        <v>30</v>
      </c>
      <c r="C25" s="55" t="s">
        <v>42</v>
      </c>
      <c r="D25" s="55" t="s">
        <v>43</v>
      </c>
      <c r="E25" s="55" t="s">
        <v>11</v>
      </c>
      <c r="F25" s="55" t="s">
        <v>45</v>
      </c>
      <c r="G25" s="2" t="s">
        <v>13</v>
      </c>
      <c r="H25" s="2">
        <f t="shared" si="0"/>
        <v>1</v>
      </c>
    </row>
    <row r="26" spans="1:8" x14ac:dyDescent="0.45">
      <c r="A26" s="55" t="s">
        <v>7</v>
      </c>
      <c r="B26" s="55" t="s">
        <v>30</v>
      </c>
      <c r="C26" s="55" t="s">
        <v>42</v>
      </c>
      <c r="D26" s="55" t="s">
        <v>43</v>
      </c>
      <c r="E26" s="55" t="s">
        <v>15</v>
      </c>
      <c r="F26" s="55" t="s">
        <v>46</v>
      </c>
      <c r="G26" s="2" t="s">
        <v>13</v>
      </c>
      <c r="H26" s="2">
        <f t="shared" si="0"/>
        <v>1</v>
      </c>
    </row>
    <row r="27" spans="1:8" x14ac:dyDescent="0.45">
      <c r="A27" s="55" t="s">
        <v>7</v>
      </c>
      <c r="B27" s="55" t="s">
        <v>30</v>
      </c>
      <c r="C27" s="55" t="s">
        <v>42</v>
      </c>
      <c r="D27" s="55" t="s">
        <v>43</v>
      </c>
      <c r="E27" s="55" t="s">
        <v>15</v>
      </c>
      <c r="F27" s="55" t="s">
        <v>47</v>
      </c>
      <c r="G27" s="2" t="s">
        <v>13</v>
      </c>
      <c r="H27" s="2">
        <f t="shared" si="0"/>
        <v>1</v>
      </c>
    </row>
    <row r="28" spans="1:8" x14ac:dyDescent="0.45">
      <c r="A28" s="55" t="s">
        <v>7</v>
      </c>
      <c r="B28" s="55" t="s">
        <v>30</v>
      </c>
      <c r="C28" s="55" t="s">
        <v>42</v>
      </c>
      <c r="D28" s="55" t="s">
        <v>43</v>
      </c>
      <c r="E28" s="55" t="s">
        <v>19</v>
      </c>
      <c r="F28" s="55" t="s">
        <v>48</v>
      </c>
      <c r="G28" s="2" t="s">
        <v>13</v>
      </c>
      <c r="H28" s="2">
        <f t="shared" si="0"/>
        <v>1</v>
      </c>
    </row>
    <row r="29" spans="1:8" x14ac:dyDescent="0.45">
      <c r="A29" s="55" t="s">
        <v>7</v>
      </c>
      <c r="B29" s="55" t="s">
        <v>49</v>
      </c>
      <c r="C29" s="55" t="s">
        <v>50</v>
      </c>
      <c r="D29" s="55" t="s">
        <v>51</v>
      </c>
      <c r="E29" s="55" t="s">
        <v>11</v>
      </c>
      <c r="F29" s="55" t="s">
        <v>52</v>
      </c>
      <c r="G29" s="2" t="s">
        <v>13</v>
      </c>
      <c r="H29" s="2">
        <f t="shared" si="0"/>
        <v>1</v>
      </c>
    </row>
    <row r="30" spans="1:8" x14ac:dyDescent="0.45">
      <c r="A30" s="55" t="s">
        <v>7</v>
      </c>
      <c r="B30" s="55" t="s">
        <v>49</v>
      </c>
      <c r="C30" s="55" t="s">
        <v>50</v>
      </c>
      <c r="D30" s="55" t="s">
        <v>51</v>
      </c>
      <c r="E30" s="55" t="s">
        <v>11</v>
      </c>
      <c r="F30" s="55" t="s">
        <v>53</v>
      </c>
      <c r="G30" s="2" t="s">
        <v>13</v>
      </c>
      <c r="H30" s="2">
        <f t="shared" si="0"/>
        <v>1</v>
      </c>
    </row>
    <row r="31" spans="1:8" x14ac:dyDescent="0.45">
      <c r="A31" s="55" t="s">
        <v>7</v>
      </c>
      <c r="B31" s="55" t="s">
        <v>49</v>
      </c>
      <c r="C31" s="55" t="s">
        <v>50</v>
      </c>
      <c r="D31" s="55" t="s">
        <v>51</v>
      </c>
      <c r="E31" s="55" t="s">
        <v>11</v>
      </c>
      <c r="F31" s="55" t="s">
        <v>54</v>
      </c>
      <c r="G31" s="2" t="s">
        <v>13</v>
      </c>
      <c r="H31" s="2">
        <f t="shared" si="0"/>
        <v>1</v>
      </c>
    </row>
    <row r="32" spans="1:8" x14ac:dyDescent="0.45">
      <c r="A32" s="55" t="s">
        <v>7</v>
      </c>
      <c r="B32" s="55" t="s">
        <v>49</v>
      </c>
      <c r="C32" s="55" t="s">
        <v>50</v>
      </c>
      <c r="D32" s="55" t="s">
        <v>51</v>
      </c>
      <c r="E32" s="55" t="s">
        <v>15</v>
      </c>
      <c r="F32" s="55" t="s">
        <v>55</v>
      </c>
      <c r="G32" s="2" t="s">
        <v>13</v>
      </c>
      <c r="H32" s="2">
        <f t="shared" si="0"/>
        <v>1</v>
      </c>
    </row>
    <row r="33" spans="1:8" x14ac:dyDescent="0.45">
      <c r="A33" s="55" t="s">
        <v>7</v>
      </c>
      <c r="B33" s="55" t="s">
        <v>49</v>
      </c>
      <c r="C33" s="55" t="s">
        <v>50</v>
      </c>
      <c r="D33" s="55" t="s">
        <v>51</v>
      </c>
      <c r="E33" s="55" t="s">
        <v>15</v>
      </c>
      <c r="F33" s="55" t="s">
        <v>56</v>
      </c>
      <c r="G33" s="2" t="s">
        <v>13</v>
      </c>
      <c r="H33" s="2">
        <f t="shared" si="0"/>
        <v>1</v>
      </c>
    </row>
    <row r="34" spans="1:8" x14ac:dyDescent="0.45">
      <c r="A34" s="55" t="s">
        <v>7</v>
      </c>
      <c r="B34" s="55" t="s">
        <v>49</v>
      </c>
      <c r="C34" s="55" t="s">
        <v>50</v>
      </c>
      <c r="D34" s="55" t="s">
        <v>51</v>
      </c>
      <c r="E34" s="55" t="s">
        <v>15</v>
      </c>
      <c r="F34" s="55" t="s">
        <v>57</v>
      </c>
      <c r="G34" s="2" t="s">
        <v>13</v>
      </c>
      <c r="H34" s="2">
        <f t="shared" si="0"/>
        <v>1</v>
      </c>
    </row>
    <row r="35" spans="1:8" x14ac:dyDescent="0.45">
      <c r="A35" s="55" t="s">
        <v>7</v>
      </c>
      <c r="B35" s="55" t="s">
        <v>49</v>
      </c>
      <c r="C35" s="55" t="s">
        <v>50</v>
      </c>
      <c r="D35" s="55" t="s">
        <v>51</v>
      </c>
      <c r="E35" s="55" t="s">
        <v>19</v>
      </c>
      <c r="F35" s="55" t="s">
        <v>58</v>
      </c>
      <c r="G35" s="2" t="s">
        <v>13</v>
      </c>
      <c r="H35" s="2">
        <f t="shared" si="0"/>
        <v>1</v>
      </c>
    </row>
    <row r="36" spans="1:8" x14ac:dyDescent="0.45">
      <c r="A36" s="55" t="s">
        <v>7</v>
      </c>
      <c r="B36" s="55" t="s">
        <v>49</v>
      </c>
      <c r="C36" s="55" t="s">
        <v>50</v>
      </c>
      <c r="D36" s="55" t="s">
        <v>51</v>
      </c>
      <c r="E36" s="55" t="s">
        <v>19</v>
      </c>
      <c r="F36" s="55" t="s">
        <v>59</v>
      </c>
      <c r="G36" s="2" t="s">
        <v>13</v>
      </c>
      <c r="H36" s="2">
        <f t="shared" si="0"/>
        <v>1</v>
      </c>
    </row>
    <row r="37" spans="1:8" x14ac:dyDescent="0.45">
      <c r="A37" s="55" t="s">
        <v>7</v>
      </c>
      <c r="B37" s="55" t="s">
        <v>49</v>
      </c>
      <c r="C37" s="55" t="s">
        <v>50</v>
      </c>
      <c r="D37" s="55" t="s">
        <v>51</v>
      </c>
      <c r="E37" s="55" t="s">
        <v>19</v>
      </c>
      <c r="F37" s="55" t="s">
        <v>60</v>
      </c>
      <c r="G37" s="2" t="s">
        <v>13</v>
      </c>
      <c r="H37" s="2">
        <f t="shared" si="0"/>
        <v>1</v>
      </c>
    </row>
    <row r="38" spans="1:8" x14ac:dyDescent="0.45">
      <c r="A38" s="55" t="s">
        <v>7</v>
      </c>
      <c r="B38" s="55" t="s">
        <v>49</v>
      </c>
      <c r="C38" s="55" t="s">
        <v>61</v>
      </c>
      <c r="D38" s="55" t="s">
        <v>62</v>
      </c>
      <c r="E38" s="55" t="s">
        <v>11</v>
      </c>
      <c r="F38" s="55" t="s">
        <v>63</v>
      </c>
      <c r="G38" s="2" t="s">
        <v>13</v>
      </c>
      <c r="H38" s="2">
        <f t="shared" si="0"/>
        <v>1</v>
      </c>
    </row>
    <row r="39" spans="1:8" x14ac:dyDescent="0.45">
      <c r="A39" s="55" t="s">
        <v>7</v>
      </c>
      <c r="B39" s="55" t="s">
        <v>49</v>
      </c>
      <c r="C39" s="55" t="s">
        <v>61</v>
      </c>
      <c r="D39" s="55" t="s">
        <v>62</v>
      </c>
      <c r="E39" s="55" t="s">
        <v>11</v>
      </c>
      <c r="F39" s="55" t="s">
        <v>64</v>
      </c>
      <c r="G39" s="2" t="s">
        <v>13</v>
      </c>
      <c r="H39" s="2">
        <f t="shared" si="0"/>
        <v>1</v>
      </c>
    </row>
    <row r="40" spans="1:8" x14ac:dyDescent="0.45">
      <c r="A40" s="55" t="s">
        <v>7</v>
      </c>
      <c r="B40" s="55" t="s">
        <v>49</v>
      </c>
      <c r="C40" s="55" t="s">
        <v>61</v>
      </c>
      <c r="D40" s="55" t="s">
        <v>62</v>
      </c>
      <c r="E40" s="55" t="s">
        <v>15</v>
      </c>
      <c r="F40" s="55" t="s">
        <v>65</v>
      </c>
      <c r="G40" s="2" t="s">
        <v>13</v>
      </c>
      <c r="H40" s="2">
        <f t="shared" si="0"/>
        <v>1</v>
      </c>
    </row>
    <row r="41" spans="1:8" x14ac:dyDescent="0.45">
      <c r="A41" s="55" t="s">
        <v>7</v>
      </c>
      <c r="B41" s="55" t="s">
        <v>49</v>
      </c>
      <c r="C41" s="55" t="s">
        <v>61</v>
      </c>
      <c r="D41" s="55" t="s">
        <v>62</v>
      </c>
      <c r="E41" s="55" t="s">
        <v>15</v>
      </c>
      <c r="F41" s="55" t="s">
        <v>66</v>
      </c>
      <c r="G41" s="2" t="s">
        <v>13</v>
      </c>
      <c r="H41" s="2">
        <f t="shared" si="0"/>
        <v>1</v>
      </c>
    </row>
    <row r="42" spans="1:8" x14ac:dyDescent="0.45">
      <c r="A42" s="55" t="s">
        <v>7</v>
      </c>
      <c r="B42" s="55" t="s">
        <v>49</v>
      </c>
      <c r="C42" s="55" t="s">
        <v>61</v>
      </c>
      <c r="D42" s="55" t="s">
        <v>62</v>
      </c>
      <c r="E42" s="55" t="s">
        <v>19</v>
      </c>
      <c r="F42" s="55" t="s">
        <v>67</v>
      </c>
      <c r="G42" s="2" t="s">
        <v>13</v>
      </c>
      <c r="H42" s="2">
        <f t="shared" si="0"/>
        <v>1</v>
      </c>
    </row>
    <row r="43" spans="1:8" x14ac:dyDescent="0.45">
      <c r="A43" s="55" t="s">
        <v>7</v>
      </c>
      <c r="B43" s="55" t="s">
        <v>49</v>
      </c>
      <c r="C43" s="55" t="s">
        <v>61</v>
      </c>
      <c r="D43" s="55" t="s">
        <v>62</v>
      </c>
      <c r="E43" s="55" t="s">
        <v>19</v>
      </c>
      <c r="F43" s="55" t="s">
        <v>68</v>
      </c>
      <c r="G43" s="2" t="s">
        <v>13</v>
      </c>
      <c r="H43" s="2">
        <f t="shared" si="0"/>
        <v>1</v>
      </c>
    </row>
    <row r="44" spans="1:8" x14ac:dyDescent="0.45">
      <c r="A44" s="55" t="s">
        <v>7</v>
      </c>
      <c r="B44" s="55" t="s">
        <v>69</v>
      </c>
      <c r="C44" s="55" t="s">
        <v>70</v>
      </c>
      <c r="D44" s="55" t="s">
        <v>71</v>
      </c>
      <c r="E44" s="55" t="s">
        <v>11</v>
      </c>
      <c r="F44" s="55" t="s">
        <v>72</v>
      </c>
      <c r="G44" s="2" t="s">
        <v>13</v>
      </c>
      <c r="H44" s="2">
        <f t="shared" si="0"/>
        <v>1</v>
      </c>
    </row>
    <row r="45" spans="1:8" x14ac:dyDescent="0.45">
      <c r="A45" s="55" t="s">
        <v>7</v>
      </c>
      <c r="B45" s="55" t="s">
        <v>69</v>
      </c>
      <c r="C45" s="55" t="s">
        <v>70</v>
      </c>
      <c r="D45" s="55" t="s">
        <v>71</v>
      </c>
      <c r="E45" s="55" t="s">
        <v>11</v>
      </c>
      <c r="F45" s="55" t="s">
        <v>73</v>
      </c>
      <c r="G45" s="2" t="s">
        <v>13</v>
      </c>
      <c r="H45" s="2">
        <f t="shared" si="0"/>
        <v>1</v>
      </c>
    </row>
    <row r="46" spans="1:8" x14ac:dyDescent="0.45">
      <c r="A46" s="55" t="s">
        <v>7</v>
      </c>
      <c r="B46" s="55" t="s">
        <v>69</v>
      </c>
      <c r="C46" s="55" t="s">
        <v>70</v>
      </c>
      <c r="D46" s="55" t="s">
        <v>71</v>
      </c>
      <c r="E46" s="55" t="s">
        <v>15</v>
      </c>
      <c r="F46" s="55" t="s">
        <v>74</v>
      </c>
      <c r="G46" s="2" t="s">
        <v>13</v>
      </c>
      <c r="H46" s="2">
        <f t="shared" si="0"/>
        <v>1</v>
      </c>
    </row>
    <row r="47" spans="1:8" x14ac:dyDescent="0.45">
      <c r="A47" s="55" t="s">
        <v>7</v>
      </c>
      <c r="B47" s="55" t="s">
        <v>69</v>
      </c>
      <c r="C47" s="55" t="s">
        <v>70</v>
      </c>
      <c r="D47" s="55" t="s">
        <v>71</v>
      </c>
      <c r="E47" s="55" t="s">
        <v>15</v>
      </c>
      <c r="F47" s="55" t="s">
        <v>75</v>
      </c>
      <c r="G47" s="2" t="s">
        <v>13</v>
      </c>
      <c r="H47" s="2">
        <f t="shared" si="0"/>
        <v>1</v>
      </c>
    </row>
    <row r="48" spans="1:8" x14ac:dyDescent="0.45">
      <c r="A48" s="55" t="s">
        <v>7</v>
      </c>
      <c r="B48" s="55" t="s">
        <v>69</v>
      </c>
      <c r="C48" s="55" t="s">
        <v>70</v>
      </c>
      <c r="D48" s="55" t="s">
        <v>71</v>
      </c>
      <c r="E48" s="55" t="s">
        <v>15</v>
      </c>
      <c r="F48" s="55" t="s">
        <v>76</v>
      </c>
      <c r="G48" s="2" t="s">
        <v>13</v>
      </c>
      <c r="H48" s="2">
        <f t="shared" si="0"/>
        <v>1</v>
      </c>
    </row>
    <row r="49" spans="1:8" x14ac:dyDescent="0.45">
      <c r="A49" s="55" t="s">
        <v>7</v>
      </c>
      <c r="B49" s="55" t="s">
        <v>69</v>
      </c>
      <c r="C49" s="55" t="s">
        <v>70</v>
      </c>
      <c r="D49" s="55" t="s">
        <v>71</v>
      </c>
      <c r="E49" s="55" t="s">
        <v>19</v>
      </c>
      <c r="F49" s="55" t="s">
        <v>77</v>
      </c>
      <c r="G49" s="2" t="s">
        <v>13</v>
      </c>
      <c r="H49" s="2">
        <f t="shared" si="0"/>
        <v>1</v>
      </c>
    </row>
    <row r="50" spans="1:8" x14ac:dyDescent="0.45">
      <c r="A50" s="55" t="s">
        <v>7</v>
      </c>
      <c r="B50" s="55" t="s">
        <v>69</v>
      </c>
      <c r="C50" s="55" t="s">
        <v>70</v>
      </c>
      <c r="D50" s="55" t="s">
        <v>71</v>
      </c>
      <c r="E50" s="55" t="s">
        <v>19</v>
      </c>
      <c r="F50" s="55" t="s">
        <v>78</v>
      </c>
      <c r="G50" s="2" t="s">
        <v>13</v>
      </c>
      <c r="H50" s="2">
        <f t="shared" si="0"/>
        <v>1</v>
      </c>
    </row>
    <row r="51" spans="1:8" x14ac:dyDescent="0.45">
      <c r="A51" s="55" t="s">
        <v>7</v>
      </c>
      <c r="B51" s="55" t="s">
        <v>69</v>
      </c>
      <c r="C51" s="55" t="s">
        <v>79</v>
      </c>
      <c r="D51" s="55" t="s">
        <v>80</v>
      </c>
      <c r="E51" s="55" t="s">
        <v>11</v>
      </c>
      <c r="F51" s="55" t="s">
        <v>81</v>
      </c>
      <c r="G51" s="2" t="s">
        <v>13</v>
      </c>
      <c r="H51" s="2">
        <f t="shared" si="0"/>
        <v>1</v>
      </c>
    </row>
    <row r="52" spans="1:8" x14ac:dyDescent="0.45">
      <c r="A52" s="55" t="s">
        <v>7</v>
      </c>
      <c r="B52" s="55" t="s">
        <v>69</v>
      </c>
      <c r="C52" s="55" t="s">
        <v>79</v>
      </c>
      <c r="D52" s="55" t="s">
        <v>80</v>
      </c>
      <c r="E52" s="55" t="s">
        <v>11</v>
      </c>
      <c r="F52" s="55" t="s">
        <v>82</v>
      </c>
      <c r="G52" s="2" t="s">
        <v>13</v>
      </c>
      <c r="H52" s="2">
        <f t="shared" si="0"/>
        <v>1</v>
      </c>
    </row>
    <row r="53" spans="1:8" x14ac:dyDescent="0.45">
      <c r="A53" s="55" t="s">
        <v>7</v>
      </c>
      <c r="B53" s="55" t="s">
        <v>69</v>
      </c>
      <c r="C53" s="55" t="s">
        <v>79</v>
      </c>
      <c r="D53" s="55" t="s">
        <v>80</v>
      </c>
      <c r="E53" s="55" t="s">
        <v>15</v>
      </c>
      <c r="F53" s="55" t="s">
        <v>83</v>
      </c>
      <c r="G53" s="2" t="s">
        <v>13</v>
      </c>
      <c r="H53" s="2">
        <f t="shared" si="0"/>
        <v>1</v>
      </c>
    </row>
    <row r="54" spans="1:8" x14ac:dyDescent="0.45">
      <c r="A54" s="55" t="s">
        <v>7</v>
      </c>
      <c r="B54" s="55" t="s">
        <v>69</v>
      </c>
      <c r="C54" s="55" t="s">
        <v>79</v>
      </c>
      <c r="D54" s="55" t="s">
        <v>80</v>
      </c>
      <c r="E54" s="55" t="s">
        <v>15</v>
      </c>
      <c r="F54" s="55" t="s">
        <v>84</v>
      </c>
      <c r="G54" s="2" t="s">
        <v>13</v>
      </c>
      <c r="H54" s="2">
        <f t="shared" si="0"/>
        <v>1</v>
      </c>
    </row>
    <row r="55" spans="1:8" x14ac:dyDescent="0.45">
      <c r="A55" s="55" t="s">
        <v>7</v>
      </c>
      <c r="B55" s="55" t="s">
        <v>69</v>
      </c>
      <c r="C55" s="55" t="s">
        <v>79</v>
      </c>
      <c r="D55" s="55" t="s">
        <v>80</v>
      </c>
      <c r="E55" s="55" t="s">
        <v>19</v>
      </c>
      <c r="F55" s="55" t="s">
        <v>85</v>
      </c>
      <c r="G55" s="2" t="s">
        <v>13</v>
      </c>
      <c r="H55" s="2">
        <f t="shared" si="0"/>
        <v>1</v>
      </c>
    </row>
    <row r="56" spans="1:8" x14ac:dyDescent="0.45">
      <c r="A56" s="55" t="s">
        <v>7</v>
      </c>
      <c r="B56" s="55" t="s">
        <v>69</v>
      </c>
      <c r="C56" s="55" t="s">
        <v>79</v>
      </c>
      <c r="D56" s="55" t="s">
        <v>80</v>
      </c>
      <c r="E56" s="55" t="s">
        <v>19</v>
      </c>
      <c r="F56" s="55" t="s">
        <v>86</v>
      </c>
      <c r="G56" s="2" t="s">
        <v>13</v>
      </c>
      <c r="H56" s="2">
        <f t="shared" si="0"/>
        <v>1</v>
      </c>
    </row>
    <row r="57" spans="1:8" x14ac:dyDescent="0.45">
      <c r="A57" s="55" t="s">
        <v>87</v>
      </c>
      <c r="B57" s="55" t="s">
        <v>88</v>
      </c>
      <c r="C57" s="55" t="s">
        <v>89</v>
      </c>
      <c r="D57" s="55" t="s">
        <v>90</v>
      </c>
      <c r="E57" s="55" t="s">
        <v>11</v>
      </c>
      <c r="F57" s="55" t="s">
        <v>91</v>
      </c>
      <c r="G57" s="2" t="s">
        <v>13</v>
      </c>
      <c r="H57" s="2">
        <f t="shared" si="0"/>
        <v>1</v>
      </c>
    </row>
    <row r="58" spans="1:8" x14ac:dyDescent="0.45">
      <c r="A58" s="55" t="s">
        <v>87</v>
      </c>
      <c r="B58" s="55" t="s">
        <v>88</v>
      </c>
      <c r="C58" s="55" t="s">
        <v>89</v>
      </c>
      <c r="D58" s="55" t="s">
        <v>90</v>
      </c>
      <c r="E58" s="55" t="s">
        <v>11</v>
      </c>
      <c r="F58" s="55" t="s">
        <v>92</v>
      </c>
      <c r="G58" s="2" t="s">
        <v>13</v>
      </c>
      <c r="H58" s="2">
        <f t="shared" si="0"/>
        <v>1</v>
      </c>
    </row>
    <row r="59" spans="1:8" x14ac:dyDescent="0.45">
      <c r="A59" s="55" t="s">
        <v>87</v>
      </c>
      <c r="B59" s="55" t="s">
        <v>88</v>
      </c>
      <c r="C59" s="55" t="s">
        <v>89</v>
      </c>
      <c r="D59" s="55" t="s">
        <v>90</v>
      </c>
      <c r="E59" s="55" t="s">
        <v>15</v>
      </c>
      <c r="F59" s="55" t="s">
        <v>93</v>
      </c>
      <c r="G59" s="2" t="s">
        <v>13</v>
      </c>
      <c r="H59" s="2">
        <f t="shared" si="0"/>
        <v>1</v>
      </c>
    </row>
    <row r="60" spans="1:8" x14ac:dyDescent="0.45">
      <c r="A60" s="55" t="s">
        <v>87</v>
      </c>
      <c r="B60" s="55" t="s">
        <v>88</v>
      </c>
      <c r="C60" s="55" t="s">
        <v>89</v>
      </c>
      <c r="D60" s="55" t="s">
        <v>90</v>
      </c>
      <c r="E60" s="55" t="s">
        <v>15</v>
      </c>
      <c r="F60" s="55" t="s">
        <v>94</v>
      </c>
      <c r="G60" s="2" t="s">
        <v>13</v>
      </c>
      <c r="H60" s="2">
        <f t="shared" si="0"/>
        <v>1</v>
      </c>
    </row>
    <row r="61" spans="1:8" x14ac:dyDescent="0.45">
      <c r="A61" s="55" t="s">
        <v>87</v>
      </c>
      <c r="B61" s="55" t="s">
        <v>88</v>
      </c>
      <c r="C61" s="55" t="s">
        <v>89</v>
      </c>
      <c r="D61" s="55" t="s">
        <v>90</v>
      </c>
      <c r="E61" s="55" t="s">
        <v>15</v>
      </c>
      <c r="F61" s="55" t="s">
        <v>95</v>
      </c>
      <c r="G61" s="2" t="s">
        <v>13</v>
      </c>
      <c r="H61" s="2">
        <f t="shared" si="0"/>
        <v>1</v>
      </c>
    </row>
    <row r="62" spans="1:8" x14ac:dyDescent="0.45">
      <c r="A62" s="55" t="s">
        <v>87</v>
      </c>
      <c r="B62" s="55" t="s">
        <v>88</v>
      </c>
      <c r="C62" s="55" t="s">
        <v>89</v>
      </c>
      <c r="D62" s="55" t="s">
        <v>90</v>
      </c>
      <c r="E62" s="55" t="s">
        <v>19</v>
      </c>
      <c r="F62" s="55" t="s">
        <v>96</v>
      </c>
      <c r="G62" s="2" t="s">
        <v>13</v>
      </c>
      <c r="H62" s="2">
        <f t="shared" si="0"/>
        <v>1</v>
      </c>
    </row>
    <row r="63" spans="1:8" x14ac:dyDescent="0.45">
      <c r="A63" s="55" t="s">
        <v>87</v>
      </c>
      <c r="B63" s="55" t="s">
        <v>88</v>
      </c>
      <c r="C63" s="55" t="s">
        <v>89</v>
      </c>
      <c r="D63" s="55" t="s">
        <v>90</v>
      </c>
      <c r="E63" s="55" t="s">
        <v>19</v>
      </c>
      <c r="F63" s="55" t="s">
        <v>97</v>
      </c>
      <c r="G63" s="2" t="s">
        <v>13</v>
      </c>
      <c r="H63" s="2">
        <f t="shared" si="0"/>
        <v>1</v>
      </c>
    </row>
    <row r="64" spans="1:8" x14ac:dyDescent="0.45">
      <c r="A64" s="55" t="s">
        <v>87</v>
      </c>
      <c r="B64" s="55" t="s">
        <v>88</v>
      </c>
      <c r="C64" s="55" t="s">
        <v>89</v>
      </c>
      <c r="D64" s="55" t="s">
        <v>90</v>
      </c>
      <c r="E64" s="55" t="s">
        <v>19</v>
      </c>
      <c r="F64" s="55" t="s">
        <v>98</v>
      </c>
      <c r="G64" s="2" t="s">
        <v>13</v>
      </c>
      <c r="H64" s="2">
        <f t="shared" si="0"/>
        <v>1</v>
      </c>
    </row>
    <row r="65" spans="1:8" x14ac:dyDescent="0.45">
      <c r="A65" s="55" t="s">
        <v>87</v>
      </c>
      <c r="B65" s="55" t="s">
        <v>99</v>
      </c>
      <c r="C65" s="55" t="s">
        <v>100</v>
      </c>
      <c r="D65" s="55" t="s">
        <v>101</v>
      </c>
      <c r="E65" s="55" t="s">
        <v>11</v>
      </c>
      <c r="F65" s="55" t="s">
        <v>102</v>
      </c>
      <c r="G65" s="2" t="s">
        <v>13</v>
      </c>
      <c r="H65" s="2">
        <f t="shared" si="0"/>
        <v>1</v>
      </c>
    </row>
    <row r="66" spans="1:8" x14ac:dyDescent="0.45">
      <c r="A66" s="55" t="s">
        <v>87</v>
      </c>
      <c r="B66" s="55" t="s">
        <v>99</v>
      </c>
      <c r="C66" s="55" t="s">
        <v>100</v>
      </c>
      <c r="D66" s="55" t="s">
        <v>101</v>
      </c>
      <c r="E66" s="55" t="s">
        <v>15</v>
      </c>
      <c r="F66" s="55" t="s">
        <v>103</v>
      </c>
      <c r="G66" s="2" t="s">
        <v>13</v>
      </c>
      <c r="H66" s="2">
        <f t="shared" ref="H66:H129" si="1">IF(G66="Y",1,IF(G66="N",0,""))</f>
        <v>1</v>
      </c>
    </row>
    <row r="67" spans="1:8" x14ac:dyDescent="0.45">
      <c r="A67" s="55" t="s">
        <v>87</v>
      </c>
      <c r="B67" s="55" t="s">
        <v>99</v>
      </c>
      <c r="C67" s="55" t="s">
        <v>100</v>
      </c>
      <c r="D67" s="55" t="s">
        <v>101</v>
      </c>
      <c r="E67" s="55" t="s">
        <v>15</v>
      </c>
      <c r="F67" s="55" t="s">
        <v>104</v>
      </c>
      <c r="G67" s="2" t="s">
        <v>13</v>
      </c>
      <c r="H67" s="2">
        <f t="shared" si="1"/>
        <v>1</v>
      </c>
    </row>
    <row r="68" spans="1:8" x14ac:dyDescent="0.45">
      <c r="A68" s="55" t="s">
        <v>87</v>
      </c>
      <c r="B68" s="55" t="s">
        <v>99</v>
      </c>
      <c r="C68" s="55" t="s">
        <v>100</v>
      </c>
      <c r="D68" s="55" t="s">
        <v>101</v>
      </c>
      <c r="E68" s="55" t="s">
        <v>15</v>
      </c>
      <c r="F68" s="55" t="s">
        <v>105</v>
      </c>
      <c r="G68" s="2" t="s">
        <v>13</v>
      </c>
      <c r="H68" s="2">
        <f t="shared" si="1"/>
        <v>1</v>
      </c>
    </row>
    <row r="69" spans="1:8" x14ac:dyDescent="0.45">
      <c r="A69" s="55" t="s">
        <v>87</v>
      </c>
      <c r="B69" s="55" t="s">
        <v>99</v>
      </c>
      <c r="C69" s="55" t="s">
        <v>100</v>
      </c>
      <c r="D69" s="55" t="s">
        <v>101</v>
      </c>
      <c r="E69" s="55" t="s">
        <v>19</v>
      </c>
      <c r="F69" s="55" t="s">
        <v>106</v>
      </c>
      <c r="G69" s="2" t="s">
        <v>13</v>
      </c>
      <c r="H69" s="2">
        <f t="shared" si="1"/>
        <v>1</v>
      </c>
    </row>
    <row r="70" spans="1:8" x14ac:dyDescent="0.45">
      <c r="A70" s="55" t="s">
        <v>87</v>
      </c>
      <c r="B70" s="55" t="s">
        <v>99</v>
      </c>
      <c r="C70" s="55" t="s">
        <v>100</v>
      </c>
      <c r="D70" s="55" t="s">
        <v>101</v>
      </c>
      <c r="E70" s="55" t="s">
        <v>19</v>
      </c>
      <c r="F70" s="55" t="s">
        <v>107</v>
      </c>
      <c r="G70" s="2" t="s">
        <v>13</v>
      </c>
      <c r="H70" s="2">
        <f t="shared" si="1"/>
        <v>1</v>
      </c>
    </row>
    <row r="71" spans="1:8" x14ac:dyDescent="0.45">
      <c r="A71" s="55" t="s">
        <v>87</v>
      </c>
      <c r="B71" s="55" t="s">
        <v>99</v>
      </c>
      <c r="C71" s="55" t="s">
        <v>100</v>
      </c>
      <c r="D71" s="55" t="s">
        <v>101</v>
      </c>
      <c r="E71" s="55" t="s">
        <v>19</v>
      </c>
      <c r="F71" s="55" t="s">
        <v>108</v>
      </c>
      <c r="G71" s="2" t="s">
        <v>13</v>
      </c>
      <c r="H71" s="2">
        <f t="shared" si="1"/>
        <v>1</v>
      </c>
    </row>
    <row r="72" spans="1:8" x14ac:dyDescent="0.45">
      <c r="A72" s="55" t="s">
        <v>87</v>
      </c>
      <c r="B72" s="55" t="s">
        <v>99</v>
      </c>
      <c r="C72" s="55" t="s">
        <v>100</v>
      </c>
      <c r="D72" s="55" t="s">
        <v>101</v>
      </c>
      <c r="E72" s="55" t="s">
        <v>19</v>
      </c>
      <c r="F72" s="55" t="s">
        <v>109</v>
      </c>
      <c r="G72" s="2" t="s">
        <v>13</v>
      </c>
      <c r="H72" s="2">
        <f t="shared" si="1"/>
        <v>1</v>
      </c>
    </row>
    <row r="73" spans="1:8" x14ac:dyDescent="0.45">
      <c r="A73" s="55" t="s">
        <v>87</v>
      </c>
      <c r="B73" s="55" t="s">
        <v>110</v>
      </c>
      <c r="C73" s="55" t="s">
        <v>111</v>
      </c>
      <c r="D73" s="55" t="s">
        <v>112</v>
      </c>
      <c r="E73" s="55" t="s">
        <v>11</v>
      </c>
      <c r="F73" s="55" t="s">
        <v>113</v>
      </c>
      <c r="G73" s="2" t="s">
        <v>13</v>
      </c>
      <c r="H73" s="2">
        <f t="shared" si="1"/>
        <v>1</v>
      </c>
    </row>
    <row r="74" spans="1:8" x14ac:dyDescent="0.45">
      <c r="A74" s="55" t="s">
        <v>87</v>
      </c>
      <c r="B74" s="55" t="s">
        <v>110</v>
      </c>
      <c r="C74" s="55" t="s">
        <v>111</v>
      </c>
      <c r="D74" s="55" t="s">
        <v>112</v>
      </c>
      <c r="E74" s="55" t="s">
        <v>11</v>
      </c>
      <c r="F74" s="55" t="s">
        <v>114</v>
      </c>
      <c r="G74" s="2" t="s">
        <v>13</v>
      </c>
      <c r="H74" s="2">
        <f t="shared" si="1"/>
        <v>1</v>
      </c>
    </row>
    <row r="75" spans="1:8" x14ac:dyDescent="0.45">
      <c r="A75" s="55" t="s">
        <v>87</v>
      </c>
      <c r="B75" s="55" t="s">
        <v>110</v>
      </c>
      <c r="C75" s="55" t="s">
        <v>111</v>
      </c>
      <c r="D75" s="55" t="s">
        <v>112</v>
      </c>
      <c r="E75" s="55" t="s">
        <v>15</v>
      </c>
      <c r="F75" s="55" t="s">
        <v>115</v>
      </c>
      <c r="G75" s="2" t="s">
        <v>13</v>
      </c>
      <c r="H75" s="2">
        <f t="shared" si="1"/>
        <v>1</v>
      </c>
    </row>
    <row r="76" spans="1:8" x14ac:dyDescent="0.45">
      <c r="A76" s="55" t="s">
        <v>87</v>
      </c>
      <c r="B76" s="55" t="s">
        <v>110</v>
      </c>
      <c r="C76" s="55" t="s">
        <v>111</v>
      </c>
      <c r="D76" s="55" t="s">
        <v>112</v>
      </c>
      <c r="E76" s="55" t="s">
        <v>15</v>
      </c>
      <c r="F76" s="55" t="s">
        <v>116</v>
      </c>
      <c r="G76" s="2" t="s">
        <v>13</v>
      </c>
      <c r="H76" s="2">
        <f t="shared" si="1"/>
        <v>1</v>
      </c>
    </row>
    <row r="77" spans="1:8" x14ac:dyDescent="0.45">
      <c r="A77" s="55" t="s">
        <v>87</v>
      </c>
      <c r="B77" s="55" t="s">
        <v>110</v>
      </c>
      <c r="C77" s="55" t="s">
        <v>111</v>
      </c>
      <c r="D77" s="55" t="s">
        <v>112</v>
      </c>
      <c r="E77" s="55" t="s">
        <v>15</v>
      </c>
      <c r="F77" s="55" t="s">
        <v>117</v>
      </c>
      <c r="G77" s="2" t="s">
        <v>13</v>
      </c>
      <c r="H77" s="2">
        <f t="shared" si="1"/>
        <v>1</v>
      </c>
    </row>
    <row r="78" spans="1:8" x14ac:dyDescent="0.45">
      <c r="A78" s="55" t="s">
        <v>87</v>
      </c>
      <c r="B78" s="55" t="s">
        <v>110</v>
      </c>
      <c r="C78" s="55" t="s">
        <v>111</v>
      </c>
      <c r="D78" s="55" t="s">
        <v>112</v>
      </c>
      <c r="E78" s="55" t="s">
        <v>19</v>
      </c>
      <c r="F78" s="55" t="s">
        <v>118</v>
      </c>
      <c r="G78" s="2" t="s">
        <v>13</v>
      </c>
      <c r="H78" s="2">
        <f t="shared" si="1"/>
        <v>1</v>
      </c>
    </row>
    <row r="79" spans="1:8" x14ac:dyDescent="0.45">
      <c r="A79" s="55" t="s">
        <v>87</v>
      </c>
      <c r="B79" s="55" t="s">
        <v>110</v>
      </c>
      <c r="C79" s="55" t="s">
        <v>111</v>
      </c>
      <c r="D79" s="55" t="s">
        <v>112</v>
      </c>
      <c r="E79" s="55" t="s">
        <v>19</v>
      </c>
      <c r="F79" s="55" t="s">
        <v>119</v>
      </c>
      <c r="G79" s="2" t="s">
        <v>13</v>
      </c>
      <c r="H79" s="2">
        <f t="shared" si="1"/>
        <v>1</v>
      </c>
    </row>
    <row r="80" spans="1:8" x14ac:dyDescent="0.45">
      <c r="A80" s="55" t="s">
        <v>87</v>
      </c>
      <c r="B80" s="55" t="s">
        <v>110</v>
      </c>
      <c r="C80" s="55" t="s">
        <v>120</v>
      </c>
      <c r="D80" s="55" t="s">
        <v>121</v>
      </c>
      <c r="E80" s="55" t="s">
        <v>11</v>
      </c>
      <c r="F80" s="55" t="s">
        <v>122</v>
      </c>
      <c r="G80" s="2" t="s">
        <v>13</v>
      </c>
      <c r="H80" s="2">
        <f t="shared" si="1"/>
        <v>1</v>
      </c>
    </row>
    <row r="81" spans="1:8" x14ac:dyDescent="0.45">
      <c r="A81" s="55" t="s">
        <v>87</v>
      </c>
      <c r="B81" s="55" t="s">
        <v>110</v>
      </c>
      <c r="C81" s="55" t="s">
        <v>120</v>
      </c>
      <c r="D81" s="55" t="s">
        <v>121</v>
      </c>
      <c r="E81" s="55" t="s">
        <v>11</v>
      </c>
      <c r="F81" s="55" t="s">
        <v>123</v>
      </c>
      <c r="G81" s="2" t="s">
        <v>13</v>
      </c>
      <c r="H81" s="2">
        <f t="shared" si="1"/>
        <v>1</v>
      </c>
    </row>
    <row r="82" spans="1:8" x14ac:dyDescent="0.45">
      <c r="A82" s="55" t="s">
        <v>87</v>
      </c>
      <c r="B82" s="55" t="s">
        <v>110</v>
      </c>
      <c r="C82" s="55" t="s">
        <v>120</v>
      </c>
      <c r="D82" s="55" t="s">
        <v>121</v>
      </c>
      <c r="E82" s="55" t="s">
        <v>15</v>
      </c>
      <c r="F82" s="55" t="s">
        <v>124</v>
      </c>
      <c r="G82" s="2" t="s">
        <v>13</v>
      </c>
      <c r="H82" s="2">
        <f t="shared" si="1"/>
        <v>1</v>
      </c>
    </row>
    <row r="83" spans="1:8" x14ac:dyDescent="0.45">
      <c r="A83" s="55" t="s">
        <v>87</v>
      </c>
      <c r="B83" s="55" t="s">
        <v>110</v>
      </c>
      <c r="C83" s="55" t="s">
        <v>120</v>
      </c>
      <c r="D83" s="55" t="s">
        <v>121</v>
      </c>
      <c r="E83" s="55" t="s">
        <v>15</v>
      </c>
      <c r="F83" s="55" t="s">
        <v>125</v>
      </c>
      <c r="G83" s="2" t="s">
        <v>13</v>
      </c>
      <c r="H83" s="2">
        <f t="shared" si="1"/>
        <v>1</v>
      </c>
    </row>
    <row r="84" spans="1:8" x14ac:dyDescent="0.45">
      <c r="A84" s="55" t="s">
        <v>87</v>
      </c>
      <c r="B84" s="55" t="s">
        <v>110</v>
      </c>
      <c r="C84" s="55" t="s">
        <v>120</v>
      </c>
      <c r="D84" s="55" t="s">
        <v>121</v>
      </c>
      <c r="E84" s="55" t="s">
        <v>19</v>
      </c>
      <c r="F84" s="55" t="s">
        <v>126</v>
      </c>
      <c r="G84" s="2" t="s">
        <v>13</v>
      </c>
      <c r="H84" s="2">
        <f t="shared" si="1"/>
        <v>1</v>
      </c>
    </row>
    <row r="85" spans="1:8" x14ac:dyDescent="0.45">
      <c r="A85" s="55" t="s">
        <v>87</v>
      </c>
      <c r="B85" s="55" t="s">
        <v>110</v>
      </c>
      <c r="C85" s="55" t="s">
        <v>120</v>
      </c>
      <c r="D85" s="55" t="s">
        <v>121</v>
      </c>
      <c r="E85" s="55" t="s">
        <v>19</v>
      </c>
      <c r="F85" s="55" t="s">
        <v>127</v>
      </c>
      <c r="G85" s="2" t="s">
        <v>13</v>
      </c>
      <c r="H85" s="2">
        <f t="shared" si="1"/>
        <v>1</v>
      </c>
    </row>
    <row r="86" spans="1:8" x14ac:dyDescent="0.45">
      <c r="A86" s="55" t="s">
        <v>87</v>
      </c>
      <c r="B86" s="55" t="s">
        <v>128</v>
      </c>
      <c r="C86" s="55" t="s">
        <v>129</v>
      </c>
      <c r="D86" s="55" t="s">
        <v>130</v>
      </c>
      <c r="E86" s="55" t="s">
        <v>11</v>
      </c>
      <c r="F86" s="55" t="s">
        <v>131</v>
      </c>
      <c r="G86" s="2" t="s">
        <v>13</v>
      </c>
      <c r="H86" s="2">
        <f t="shared" si="1"/>
        <v>1</v>
      </c>
    </row>
    <row r="87" spans="1:8" x14ac:dyDescent="0.45">
      <c r="A87" s="55" t="s">
        <v>87</v>
      </c>
      <c r="B87" s="55" t="s">
        <v>128</v>
      </c>
      <c r="C87" s="55" t="s">
        <v>129</v>
      </c>
      <c r="D87" s="55" t="s">
        <v>130</v>
      </c>
      <c r="E87" s="55" t="s">
        <v>15</v>
      </c>
      <c r="F87" s="55" t="s">
        <v>132</v>
      </c>
      <c r="G87" s="2" t="s">
        <v>13</v>
      </c>
      <c r="H87" s="2">
        <f t="shared" si="1"/>
        <v>1</v>
      </c>
    </row>
    <row r="88" spans="1:8" x14ac:dyDescent="0.45">
      <c r="A88" s="55" t="s">
        <v>87</v>
      </c>
      <c r="B88" s="55" t="s">
        <v>128</v>
      </c>
      <c r="C88" s="55" t="s">
        <v>129</v>
      </c>
      <c r="D88" s="55" t="s">
        <v>130</v>
      </c>
      <c r="E88" s="55" t="s">
        <v>15</v>
      </c>
      <c r="F88" s="55" t="s">
        <v>133</v>
      </c>
      <c r="G88" s="2" t="s">
        <v>13</v>
      </c>
      <c r="H88" s="2">
        <f t="shared" si="1"/>
        <v>1</v>
      </c>
    </row>
    <row r="89" spans="1:8" x14ac:dyDescent="0.45">
      <c r="A89" s="55" t="s">
        <v>87</v>
      </c>
      <c r="B89" s="55" t="s">
        <v>128</v>
      </c>
      <c r="C89" s="55" t="s">
        <v>129</v>
      </c>
      <c r="D89" s="55" t="s">
        <v>130</v>
      </c>
      <c r="E89" s="55" t="s">
        <v>19</v>
      </c>
      <c r="F89" s="55" t="s">
        <v>134</v>
      </c>
      <c r="G89" s="2" t="s">
        <v>13</v>
      </c>
      <c r="H89" s="2">
        <f t="shared" si="1"/>
        <v>1</v>
      </c>
    </row>
    <row r="90" spans="1:8" x14ac:dyDescent="0.45">
      <c r="A90" s="55" t="s">
        <v>87</v>
      </c>
      <c r="B90" s="55" t="s">
        <v>128</v>
      </c>
      <c r="C90" s="55" t="s">
        <v>129</v>
      </c>
      <c r="D90" s="55" t="s">
        <v>130</v>
      </c>
      <c r="E90" s="55" t="s">
        <v>19</v>
      </c>
      <c r="F90" s="55" t="s">
        <v>135</v>
      </c>
      <c r="G90" s="2" t="s">
        <v>13</v>
      </c>
      <c r="H90" s="2">
        <f t="shared" si="1"/>
        <v>1</v>
      </c>
    </row>
    <row r="91" spans="1:8" x14ac:dyDescent="0.45">
      <c r="A91" s="55" t="s">
        <v>87</v>
      </c>
      <c r="B91" s="55" t="s">
        <v>128</v>
      </c>
      <c r="C91" s="55" t="s">
        <v>136</v>
      </c>
      <c r="D91" s="55" t="s">
        <v>137</v>
      </c>
      <c r="E91" s="55" t="s">
        <v>11</v>
      </c>
      <c r="F91" s="55" t="s">
        <v>138</v>
      </c>
      <c r="G91" s="2" t="s">
        <v>13</v>
      </c>
      <c r="H91" s="2">
        <f t="shared" si="1"/>
        <v>1</v>
      </c>
    </row>
    <row r="92" spans="1:8" x14ac:dyDescent="0.45">
      <c r="A92" s="55" t="s">
        <v>87</v>
      </c>
      <c r="B92" s="55" t="s">
        <v>128</v>
      </c>
      <c r="C92" s="55" t="s">
        <v>136</v>
      </c>
      <c r="D92" s="55" t="s">
        <v>137</v>
      </c>
      <c r="E92" s="55" t="s">
        <v>11</v>
      </c>
      <c r="F92" s="55" t="s">
        <v>139</v>
      </c>
      <c r="G92" s="2" t="s">
        <v>13</v>
      </c>
      <c r="H92" s="2">
        <f t="shared" si="1"/>
        <v>1</v>
      </c>
    </row>
    <row r="93" spans="1:8" x14ac:dyDescent="0.45">
      <c r="A93" s="55" t="s">
        <v>87</v>
      </c>
      <c r="B93" s="55" t="s">
        <v>128</v>
      </c>
      <c r="C93" s="55" t="s">
        <v>136</v>
      </c>
      <c r="D93" s="55" t="s">
        <v>137</v>
      </c>
      <c r="E93" s="55" t="s">
        <v>15</v>
      </c>
      <c r="F93" s="55" t="s">
        <v>140</v>
      </c>
      <c r="G93" s="2" t="s">
        <v>13</v>
      </c>
      <c r="H93" s="2">
        <f t="shared" si="1"/>
        <v>1</v>
      </c>
    </row>
    <row r="94" spans="1:8" x14ac:dyDescent="0.45">
      <c r="A94" s="55" t="s">
        <v>87</v>
      </c>
      <c r="B94" s="55" t="s">
        <v>128</v>
      </c>
      <c r="C94" s="55" t="s">
        <v>136</v>
      </c>
      <c r="D94" s="55" t="s">
        <v>137</v>
      </c>
      <c r="E94" s="55" t="s">
        <v>15</v>
      </c>
      <c r="F94" s="55" t="s">
        <v>141</v>
      </c>
      <c r="G94" s="2" t="s">
        <v>13</v>
      </c>
      <c r="H94" s="2">
        <f t="shared" si="1"/>
        <v>1</v>
      </c>
    </row>
    <row r="95" spans="1:8" x14ac:dyDescent="0.45">
      <c r="A95" s="55" t="s">
        <v>87</v>
      </c>
      <c r="B95" s="55" t="s">
        <v>128</v>
      </c>
      <c r="C95" s="55" t="s">
        <v>136</v>
      </c>
      <c r="D95" s="55" t="s">
        <v>137</v>
      </c>
      <c r="E95" s="55" t="s">
        <v>19</v>
      </c>
      <c r="F95" s="55" t="s">
        <v>142</v>
      </c>
      <c r="G95" s="2" t="s">
        <v>13</v>
      </c>
      <c r="H95" s="2">
        <f t="shared" si="1"/>
        <v>1</v>
      </c>
    </row>
    <row r="96" spans="1:8" x14ac:dyDescent="0.45">
      <c r="A96" s="55" t="s">
        <v>87</v>
      </c>
      <c r="B96" s="55" t="s">
        <v>128</v>
      </c>
      <c r="C96" s="55" t="s">
        <v>136</v>
      </c>
      <c r="D96" s="55" t="s">
        <v>137</v>
      </c>
      <c r="E96" s="55" t="s">
        <v>19</v>
      </c>
      <c r="F96" s="55" t="s">
        <v>143</v>
      </c>
      <c r="G96" s="2" t="s">
        <v>13</v>
      </c>
      <c r="H96" s="2">
        <f t="shared" si="1"/>
        <v>1</v>
      </c>
    </row>
    <row r="97" spans="1:8" x14ac:dyDescent="0.45">
      <c r="A97" s="55" t="s">
        <v>144</v>
      </c>
      <c r="B97" s="55" t="s">
        <v>145</v>
      </c>
      <c r="C97" s="55" t="s">
        <v>146</v>
      </c>
      <c r="D97" s="55" t="s">
        <v>147</v>
      </c>
      <c r="E97" s="55" t="s">
        <v>11</v>
      </c>
      <c r="F97" s="55" t="s">
        <v>148</v>
      </c>
      <c r="G97" s="2" t="s">
        <v>13</v>
      </c>
      <c r="H97" s="2">
        <f t="shared" si="1"/>
        <v>1</v>
      </c>
    </row>
    <row r="98" spans="1:8" x14ac:dyDescent="0.45">
      <c r="A98" s="55" t="s">
        <v>144</v>
      </c>
      <c r="B98" s="55" t="s">
        <v>145</v>
      </c>
      <c r="C98" s="55" t="s">
        <v>146</v>
      </c>
      <c r="D98" s="55" t="s">
        <v>147</v>
      </c>
      <c r="E98" s="55" t="s">
        <v>11</v>
      </c>
      <c r="F98" s="55" t="s">
        <v>149</v>
      </c>
      <c r="G98" s="2" t="s">
        <v>13</v>
      </c>
      <c r="H98" s="2">
        <f t="shared" si="1"/>
        <v>1</v>
      </c>
    </row>
    <row r="99" spans="1:8" x14ac:dyDescent="0.45">
      <c r="A99" s="55" t="s">
        <v>144</v>
      </c>
      <c r="B99" s="55" t="s">
        <v>145</v>
      </c>
      <c r="C99" s="55" t="s">
        <v>146</v>
      </c>
      <c r="D99" s="55" t="s">
        <v>147</v>
      </c>
      <c r="E99" s="55" t="s">
        <v>15</v>
      </c>
      <c r="F99" s="55" t="s">
        <v>150</v>
      </c>
      <c r="G99" s="2" t="s">
        <v>13</v>
      </c>
      <c r="H99" s="2">
        <f t="shared" si="1"/>
        <v>1</v>
      </c>
    </row>
    <row r="100" spans="1:8" x14ac:dyDescent="0.45">
      <c r="A100" s="55" t="s">
        <v>144</v>
      </c>
      <c r="B100" s="55" t="s">
        <v>145</v>
      </c>
      <c r="C100" s="55" t="s">
        <v>146</v>
      </c>
      <c r="D100" s="55" t="s">
        <v>147</v>
      </c>
      <c r="E100" s="55" t="s">
        <v>15</v>
      </c>
      <c r="F100" s="55" t="s">
        <v>151</v>
      </c>
      <c r="G100" s="2" t="s">
        <v>13</v>
      </c>
      <c r="H100" s="2">
        <f t="shared" si="1"/>
        <v>1</v>
      </c>
    </row>
    <row r="101" spans="1:8" x14ac:dyDescent="0.45">
      <c r="A101" s="55" t="s">
        <v>144</v>
      </c>
      <c r="B101" s="55" t="s">
        <v>145</v>
      </c>
      <c r="C101" s="55" t="s">
        <v>146</v>
      </c>
      <c r="D101" s="55" t="s">
        <v>147</v>
      </c>
      <c r="E101" s="55" t="s">
        <v>15</v>
      </c>
      <c r="F101" s="55" t="s">
        <v>152</v>
      </c>
      <c r="G101" s="2" t="s">
        <v>13</v>
      </c>
      <c r="H101" s="2">
        <f t="shared" si="1"/>
        <v>1</v>
      </c>
    </row>
    <row r="102" spans="1:8" x14ac:dyDescent="0.45">
      <c r="A102" s="55" t="s">
        <v>144</v>
      </c>
      <c r="B102" s="55" t="s">
        <v>145</v>
      </c>
      <c r="C102" s="55" t="s">
        <v>146</v>
      </c>
      <c r="D102" s="55" t="s">
        <v>147</v>
      </c>
      <c r="E102" s="55" t="s">
        <v>19</v>
      </c>
      <c r="F102" s="55" t="s">
        <v>153</v>
      </c>
      <c r="G102" s="2" t="s">
        <v>13</v>
      </c>
      <c r="H102" s="2">
        <f t="shared" si="1"/>
        <v>1</v>
      </c>
    </row>
    <row r="103" spans="1:8" x14ac:dyDescent="0.45">
      <c r="A103" s="55" t="s">
        <v>144</v>
      </c>
      <c r="B103" s="55" t="s">
        <v>145</v>
      </c>
      <c r="C103" s="55" t="s">
        <v>146</v>
      </c>
      <c r="D103" s="55" t="s">
        <v>147</v>
      </c>
      <c r="E103" s="55" t="s">
        <v>19</v>
      </c>
      <c r="F103" s="55" t="s">
        <v>154</v>
      </c>
      <c r="G103" s="2" t="s">
        <v>13</v>
      </c>
      <c r="H103" s="2">
        <f t="shared" si="1"/>
        <v>1</v>
      </c>
    </row>
    <row r="104" spans="1:8" x14ac:dyDescent="0.45">
      <c r="A104" s="55" t="s">
        <v>144</v>
      </c>
      <c r="B104" s="55" t="s">
        <v>145</v>
      </c>
      <c r="C104" s="55" t="s">
        <v>146</v>
      </c>
      <c r="D104" s="55" t="s">
        <v>147</v>
      </c>
      <c r="E104" s="55" t="s">
        <v>19</v>
      </c>
      <c r="F104" s="55" t="s">
        <v>155</v>
      </c>
      <c r="G104" s="2" t="s">
        <v>13</v>
      </c>
      <c r="H104" s="2">
        <f t="shared" si="1"/>
        <v>1</v>
      </c>
    </row>
    <row r="105" spans="1:8" x14ac:dyDescent="0.45">
      <c r="A105" s="55" t="s">
        <v>144</v>
      </c>
      <c r="B105" s="55" t="s">
        <v>145</v>
      </c>
      <c r="C105" s="55" t="s">
        <v>156</v>
      </c>
      <c r="D105" s="55" t="s">
        <v>157</v>
      </c>
      <c r="E105" s="55" t="s">
        <v>11</v>
      </c>
      <c r="F105" s="55" t="s">
        <v>158</v>
      </c>
      <c r="G105" s="2" t="s">
        <v>13</v>
      </c>
      <c r="H105" s="2">
        <f t="shared" si="1"/>
        <v>1</v>
      </c>
    </row>
    <row r="106" spans="1:8" x14ac:dyDescent="0.45">
      <c r="A106" s="55" t="s">
        <v>144</v>
      </c>
      <c r="B106" s="55" t="s">
        <v>145</v>
      </c>
      <c r="C106" s="55" t="s">
        <v>156</v>
      </c>
      <c r="D106" s="55" t="s">
        <v>157</v>
      </c>
      <c r="E106" s="55" t="s">
        <v>11</v>
      </c>
      <c r="F106" s="55" t="s">
        <v>159</v>
      </c>
      <c r="G106" s="2" t="s">
        <v>13</v>
      </c>
      <c r="H106" s="2">
        <f t="shared" si="1"/>
        <v>1</v>
      </c>
    </row>
    <row r="107" spans="1:8" x14ac:dyDescent="0.45">
      <c r="A107" s="55" t="s">
        <v>144</v>
      </c>
      <c r="B107" s="55" t="s">
        <v>145</v>
      </c>
      <c r="C107" s="55" t="s">
        <v>156</v>
      </c>
      <c r="D107" s="55" t="s">
        <v>157</v>
      </c>
      <c r="E107" s="55" t="s">
        <v>11</v>
      </c>
      <c r="F107" s="55" t="s">
        <v>160</v>
      </c>
      <c r="G107" s="2" t="s">
        <v>13</v>
      </c>
      <c r="H107" s="2">
        <f t="shared" si="1"/>
        <v>1</v>
      </c>
    </row>
    <row r="108" spans="1:8" x14ac:dyDescent="0.45">
      <c r="A108" s="55" t="s">
        <v>144</v>
      </c>
      <c r="B108" s="55" t="s">
        <v>145</v>
      </c>
      <c r="C108" s="55" t="s">
        <v>156</v>
      </c>
      <c r="D108" s="55" t="s">
        <v>157</v>
      </c>
      <c r="E108" s="55" t="s">
        <v>15</v>
      </c>
      <c r="F108" s="55" t="s">
        <v>161</v>
      </c>
      <c r="G108" s="2" t="s">
        <v>13</v>
      </c>
      <c r="H108" s="2">
        <f t="shared" si="1"/>
        <v>1</v>
      </c>
    </row>
    <row r="109" spans="1:8" x14ac:dyDescent="0.45">
      <c r="A109" s="55" t="s">
        <v>144</v>
      </c>
      <c r="B109" s="55" t="s">
        <v>145</v>
      </c>
      <c r="C109" s="55" t="s">
        <v>156</v>
      </c>
      <c r="D109" s="55" t="s">
        <v>157</v>
      </c>
      <c r="E109" s="55" t="s">
        <v>15</v>
      </c>
      <c r="F109" s="55" t="s">
        <v>162</v>
      </c>
      <c r="G109" s="2" t="s">
        <v>13</v>
      </c>
      <c r="H109" s="2">
        <f t="shared" si="1"/>
        <v>1</v>
      </c>
    </row>
    <row r="110" spans="1:8" x14ac:dyDescent="0.45">
      <c r="A110" s="55" t="s">
        <v>144</v>
      </c>
      <c r="B110" s="55" t="s">
        <v>145</v>
      </c>
      <c r="C110" s="55" t="s">
        <v>156</v>
      </c>
      <c r="D110" s="55" t="s">
        <v>157</v>
      </c>
      <c r="E110" s="55" t="s">
        <v>15</v>
      </c>
      <c r="F110" s="55" t="s">
        <v>163</v>
      </c>
      <c r="G110" s="2" t="s">
        <v>13</v>
      </c>
      <c r="H110" s="2">
        <f t="shared" si="1"/>
        <v>1</v>
      </c>
    </row>
    <row r="111" spans="1:8" x14ac:dyDescent="0.45">
      <c r="A111" s="55" t="s">
        <v>144</v>
      </c>
      <c r="B111" s="55" t="s">
        <v>145</v>
      </c>
      <c r="C111" s="55" t="s">
        <v>156</v>
      </c>
      <c r="D111" s="55" t="s">
        <v>157</v>
      </c>
      <c r="E111" s="55" t="s">
        <v>19</v>
      </c>
      <c r="F111" s="55" t="s">
        <v>164</v>
      </c>
      <c r="G111" s="2" t="s">
        <v>13</v>
      </c>
      <c r="H111" s="2">
        <f t="shared" si="1"/>
        <v>1</v>
      </c>
    </row>
    <row r="112" spans="1:8" x14ac:dyDescent="0.45">
      <c r="A112" s="55" t="s">
        <v>144</v>
      </c>
      <c r="B112" s="55" t="s">
        <v>145</v>
      </c>
      <c r="C112" s="55" t="s">
        <v>156</v>
      </c>
      <c r="D112" s="55" t="s">
        <v>157</v>
      </c>
      <c r="E112" s="55" t="s">
        <v>19</v>
      </c>
      <c r="F112" s="55" t="s">
        <v>165</v>
      </c>
      <c r="G112" s="2" t="s">
        <v>13</v>
      </c>
      <c r="H112" s="2">
        <f t="shared" si="1"/>
        <v>1</v>
      </c>
    </row>
    <row r="113" spans="1:8" x14ac:dyDescent="0.45">
      <c r="A113" s="55" t="s">
        <v>144</v>
      </c>
      <c r="B113" s="55" t="s">
        <v>145</v>
      </c>
      <c r="C113" s="55" t="s">
        <v>166</v>
      </c>
      <c r="D113" s="55" t="s">
        <v>167</v>
      </c>
      <c r="E113" s="55" t="s">
        <v>11</v>
      </c>
      <c r="F113" s="55" t="s">
        <v>168</v>
      </c>
      <c r="G113" s="2" t="s">
        <v>13</v>
      </c>
      <c r="H113" s="2">
        <f t="shared" si="1"/>
        <v>1</v>
      </c>
    </row>
    <row r="114" spans="1:8" x14ac:dyDescent="0.45">
      <c r="A114" s="55" t="s">
        <v>144</v>
      </c>
      <c r="B114" s="55" t="s">
        <v>145</v>
      </c>
      <c r="C114" s="55" t="s">
        <v>166</v>
      </c>
      <c r="D114" s="55" t="s">
        <v>167</v>
      </c>
      <c r="E114" s="55" t="s">
        <v>11</v>
      </c>
      <c r="F114" s="55" t="s">
        <v>169</v>
      </c>
      <c r="G114" s="2" t="s">
        <v>13</v>
      </c>
      <c r="H114" s="2">
        <f t="shared" si="1"/>
        <v>1</v>
      </c>
    </row>
    <row r="115" spans="1:8" x14ac:dyDescent="0.45">
      <c r="A115" s="55" t="s">
        <v>144</v>
      </c>
      <c r="B115" s="55" t="s">
        <v>145</v>
      </c>
      <c r="C115" s="55" t="s">
        <v>166</v>
      </c>
      <c r="D115" s="55" t="s">
        <v>167</v>
      </c>
      <c r="E115" s="55" t="s">
        <v>15</v>
      </c>
      <c r="F115" s="55" t="s">
        <v>170</v>
      </c>
      <c r="G115" s="2" t="s">
        <v>13</v>
      </c>
      <c r="H115" s="2">
        <f t="shared" si="1"/>
        <v>1</v>
      </c>
    </row>
    <row r="116" spans="1:8" x14ac:dyDescent="0.45">
      <c r="A116" s="55" t="s">
        <v>144</v>
      </c>
      <c r="B116" s="55" t="s">
        <v>145</v>
      </c>
      <c r="C116" s="55" t="s">
        <v>166</v>
      </c>
      <c r="D116" s="55" t="s">
        <v>167</v>
      </c>
      <c r="E116" s="55" t="s">
        <v>15</v>
      </c>
      <c r="F116" s="55" t="s">
        <v>171</v>
      </c>
      <c r="G116" s="2" t="s">
        <v>13</v>
      </c>
      <c r="H116" s="2">
        <f t="shared" si="1"/>
        <v>1</v>
      </c>
    </row>
    <row r="117" spans="1:8" x14ac:dyDescent="0.45">
      <c r="A117" s="55" t="s">
        <v>144</v>
      </c>
      <c r="B117" s="55" t="s">
        <v>145</v>
      </c>
      <c r="C117" s="55" t="s">
        <v>166</v>
      </c>
      <c r="D117" s="55" t="s">
        <v>167</v>
      </c>
      <c r="E117" s="55" t="s">
        <v>19</v>
      </c>
      <c r="F117" s="55" t="s">
        <v>172</v>
      </c>
      <c r="G117" s="2" t="s">
        <v>13</v>
      </c>
      <c r="H117" s="2">
        <f t="shared" si="1"/>
        <v>1</v>
      </c>
    </row>
    <row r="118" spans="1:8" x14ac:dyDescent="0.45">
      <c r="A118" s="55" t="s">
        <v>144</v>
      </c>
      <c r="B118" s="55" t="s">
        <v>145</v>
      </c>
      <c r="C118" s="55" t="s">
        <v>166</v>
      </c>
      <c r="D118" s="55" t="s">
        <v>167</v>
      </c>
      <c r="E118" s="55" t="s">
        <v>19</v>
      </c>
      <c r="F118" s="55" t="s">
        <v>173</v>
      </c>
      <c r="G118" s="2" t="s">
        <v>13</v>
      </c>
      <c r="H118" s="2">
        <f t="shared" si="1"/>
        <v>1</v>
      </c>
    </row>
    <row r="119" spans="1:8" x14ac:dyDescent="0.45">
      <c r="A119" s="55" t="s">
        <v>144</v>
      </c>
      <c r="B119" s="55" t="s">
        <v>174</v>
      </c>
      <c r="C119" s="55" t="s">
        <v>174</v>
      </c>
      <c r="D119" s="55" t="s">
        <v>175</v>
      </c>
      <c r="E119" s="55" t="s">
        <v>11</v>
      </c>
      <c r="F119" s="55" t="s">
        <v>176</v>
      </c>
      <c r="G119" s="2" t="s">
        <v>13</v>
      </c>
      <c r="H119" s="2">
        <f t="shared" si="1"/>
        <v>1</v>
      </c>
    </row>
    <row r="120" spans="1:8" x14ac:dyDescent="0.45">
      <c r="A120" s="55" t="s">
        <v>144</v>
      </c>
      <c r="B120" s="55" t="s">
        <v>174</v>
      </c>
      <c r="C120" s="55" t="s">
        <v>174</v>
      </c>
      <c r="D120" s="55" t="s">
        <v>175</v>
      </c>
      <c r="E120" s="55" t="s">
        <v>11</v>
      </c>
      <c r="F120" s="55" t="s">
        <v>177</v>
      </c>
      <c r="G120" s="2" t="s">
        <v>13</v>
      </c>
      <c r="H120" s="2">
        <f t="shared" si="1"/>
        <v>1</v>
      </c>
    </row>
    <row r="121" spans="1:8" x14ac:dyDescent="0.45">
      <c r="A121" s="55" t="s">
        <v>144</v>
      </c>
      <c r="B121" s="55" t="s">
        <v>174</v>
      </c>
      <c r="C121" s="55" t="s">
        <v>174</v>
      </c>
      <c r="D121" s="55" t="s">
        <v>175</v>
      </c>
      <c r="E121" s="55" t="s">
        <v>15</v>
      </c>
      <c r="F121" s="55" t="s">
        <v>178</v>
      </c>
      <c r="G121" s="2" t="s">
        <v>13</v>
      </c>
      <c r="H121" s="2">
        <f t="shared" si="1"/>
        <v>1</v>
      </c>
    </row>
    <row r="122" spans="1:8" x14ac:dyDescent="0.45">
      <c r="A122" s="55" t="s">
        <v>144</v>
      </c>
      <c r="B122" s="55" t="s">
        <v>174</v>
      </c>
      <c r="C122" s="55" t="s">
        <v>174</v>
      </c>
      <c r="D122" s="55" t="s">
        <v>175</v>
      </c>
      <c r="E122" s="55" t="s">
        <v>15</v>
      </c>
      <c r="F122" s="55" t="s">
        <v>179</v>
      </c>
      <c r="G122" s="2" t="s">
        <v>13</v>
      </c>
      <c r="H122" s="2">
        <f t="shared" si="1"/>
        <v>1</v>
      </c>
    </row>
    <row r="123" spans="1:8" x14ac:dyDescent="0.45">
      <c r="A123" s="55" t="s">
        <v>144</v>
      </c>
      <c r="B123" s="55" t="s">
        <v>174</v>
      </c>
      <c r="C123" s="55" t="s">
        <v>174</v>
      </c>
      <c r="D123" s="55" t="s">
        <v>175</v>
      </c>
      <c r="E123" s="55" t="s">
        <v>19</v>
      </c>
      <c r="F123" s="55" t="s">
        <v>180</v>
      </c>
      <c r="G123" s="2" t="s">
        <v>13</v>
      </c>
      <c r="H123" s="2">
        <f t="shared" si="1"/>
        <v>1</v>
      </c>
    </row>
    <row r="124" spans="1:8" x14ac:dyDescent="0.45">
      <c r="A124" s="55" t="s">
        <v>144</v>
      </c>
      <c r="B124" s="55" t="s">
        <v>174</v>
      </c>
      <c r="C124" s="55" t="s">
        <v>174</v>
      </c>
      <c r="D124" s="55" t="s">
        <v>175</v>
      </c>
      <c r="E124" s="55" t="s">
        <v>19</v>
      </c>
      <c r="F124" s="55" t="s">
        <v>181</v>
      </c>
      <c r="G124" s="2" t="s">
        <v>13</v>
      </c>
      <c r="H124" s="2">
        <f t="shared" si="1"/>
        <v>1</v>
      </c>
    </row>
    <row r="125" spans="1:8" x14ac:dyDescent="0.45">
      <c r="A125" s="55" t="s">
        <v>144</v>
      </c>
      <c r="B125" s="55" t="s">
        <v>182</v>
      </c>
      <c r="C125" s="55" t="s">
        <v>182</v>
      </c>
      <c r="D125" s="55" t="s">
        <v>183</v>
      </c>
      <c r="E125" s="55" t="s">
        <v>11</v>
      </c>
      <c r="F125" s="55" t="s">
        <v>184</v>
      </c>
      <c r="G125" s="2" t="s">
        <v>13</v>
      </c>
      <c r="H125" s="2">
        <f t="shared" si="1"/>
        <v>1</v>
      </c>
    </row>
    <row r="126" spans="1:8" x14ac:dyDescent="0.45">
      <c r="A126" s="55" t="s">
        <v>144</v>
      </c>
      <c r="B126" s="55" t="s">
        <v>182</v>
      </c>
      <c r="C126" s="55" t="s">
        <v>182</v>
      </c>
      <c r="D126" s="55" t="s">
        <v>183</v>
      </c>
      <c r="E126" s="55" t="s">
        <v>11</v>
      </c>
      <c r="F126" s="55" t="s">
        <v>185</v>
      </c>
      <c r="G126" s="2" t="s">
        <v>13</v>
      </c>
      <c r="H126" s="2">
        <f t="shared" si="1"/>
        <v>1</v>
      </c>
    </row>
    <row r="127" spans="1:8" x14ac:dyDescent="0.45">
      <c r="A127" s="55" t="s">
        <v>144</v>
      </c>
      <c r="B127" s="55" t="s">
        <v>182</v>
      </c>
      <c r="C127" s="55" t="s">
        <v>182</v>
      </c>
      <c r="D127" s="55" t="s">
        <v>183</v>
      </c>
      <c r="E127" s="55" t="s">
        <v>15</v>
      </c>
      <c r="F127" s="55" t="s">
        <v>186</v>
      </c>
      <c r="G127" s="2" t="s">
        <v>13</v>
      </c>
      <c r="H127" s="2">
        <f t="shared" si="1"/>
        <v>1</v>
      </c>
    </row>
    <row r="128" spans="1:8" x14ac:dyDescent="0.45">
      <c r="A128" s="55" t="s">
        <v>144</v>
      </c>
      <c r="B128" s="55" t="s">
        <v>182</v>
      </c>
      <c r="C128" s="55" t="s">
        <v>182</v>
      </c>
      <c r="D128" s="55" t="s">
        <v>183</v>
      </c>
      <c r="E128" s="55" t="s">
        <v>15</v>
      </c>
      <c r="F128" s="55" t="s">
        <v>187</v>
      </c>
      <c r="G128" s="2" t="s">
        <v>13</v>
      </c>
      <c r="H128" s="2">
        <f t="shared" si="1"/>
        <v>1</v>
      </c>
    </row>
    <row r="129" spans="1:8" x14ac:dyDescent="0.45">
      <c r="A129" s="55" t="s">
        <v>144</v>
      </c>
      <c r="B129" s="55" t="s">
        <v>182</v>
      </c>
      <c r="C129" s="55" t="s">
        <v>182</v>
      </c>
      <c r="D129" s="55" t="s">
        <v>183</v>
      </c>
      <c r="E129" s="55" t="s">
        <v>19</v>
      </c>
      <c r="F129" s="55" t="s">
        <v>188</v>
      </c>
      <c r="G129" s="2" t="s">
        <v>13</v>
      </c>
      <c r="H129" s="2">
        <f t="shared" si="1"/>
        <v>1</v>
      </c>
    </row>
    <row r="130" spans="1:8" x14ac:dyDescent="0.45">
      <c r="A130" s="55" t="s">
        <v>144</v>
      </c>
      <c r="B130" s="55" t="s">
        <v>182</v>
      </c>
      <c r="C130" s="55" t="s">
        <v>182</v>
      </c>
      <c r="D130" s="55" t="s">
        <v>183</v>
      </c>
      <c r="E130" s="55" t="s">
        <v>19</v>
      </c>
      <c r="F130" s="55" t="s">
        <v>189</v>
      </c>
      <c r="G130" s="2" t="s">
        <v>13</v>
      </c>
      <c r="H130" s="2">
        <f t="shared" ref="H130:H193" si="2">IF(G130="Y",1,IF(G130="N",0,""))</f>
        <v>1</v>
      </c>
    </row>
    <row r="131" spans="1:8" x14ac:dyDescent="0.45">
      <c r="A131" s="55" t="s">
        <v>144</v>
      </c>
      <c r="B131" s="55" t="s">
        <v>182</v>
      </c>
      <c r="C131" s="55" t="s">
        <v>182</v>
      </c>
      <c r="D131" s="55" t="s">
        <v>183</v>
      </c>
      <c r="E131" s="55" t="s">
        <v>19</v>
      </c>
      <c r="F131" s="55" t="s">
        <v>190</v>
      </c>
      <c r="G131" s="2" t="s">
        <v>13</v>
      </c>
      <c r="H131" s="2">
        <f t="shared" si="2"/>
        <v>1</v>
      </c>
    </row>
    <row r="132" spans="1:8" x14ac:dyDescent="0.45">
      <c r="A132" s="55" t="s">
        <v>144</v>
      </c>
      <c r="B132" s="55" t="s">
        <v>191</v>
      </c>
      <c r="C132" s="55" t="s">
        <v>192</v>
      </c>
      <c r="D132" s="55" t="s">
        <v>193</v>
      </c>
      <c r="E132" s="55" t="s">
        <v>11</v>
      </c>
      <c r="F132" s="55" t="s">
        <v>194</v>
      </c>
      <c r="G132" s="2" t="s">
        <v>13</v>
      </c>
      <c r="H132" s="2">
        <f t="shared" si="2"/>
        <v>1</v>
      </c>
    </row>
    <row r="133" spans="1:8" x14ac:dyDescent="0.45">
      <c r="A133" s="55" t="s">
        <v>144</v>
      </c>
      <c r="B133" s="55" t="s">
        <v>191</v>
      </c>
      <c r="C133" s="55" t="s">
        <v>192</v>
      </c>
      <c r="D133" s="55" t="s">
        <v>193</v>
      </c>
      <c r="E133" s="55" t="s">
        <v>11</v>
      </c>
      <c r="F133" s="55" t="s">
        <v>195</v>
      </c>
      <c r="G133" s="2" t="s">
        <v>13</v>
      </c>
      <c r="H133" s="2">
        <f t="shared" si="2"/>
        <v>1</v>
      </c>
    </row>
    <row r="134" spans="1:8" x14ac:dyDescent="0.45">
      <c r="A134" s="55" t="s">
        <v>144</v>
      </c>
      <c r="B134" s="55" t="s">
        <v>191</v>
      </c>
      <c r="C134" s="55" t="s">
        <v>192</v>
      </c>
      <c r="D134" s="55" t="s">
        <v>193</v>
      </c>
      <c r="E134" s="55" t="s">
        <v>15</v>
      </c>
      <c r="F134" s="55" t="s">
        <v>196</v>
      </c>
      <c r="G134" s="2" t="s">
        <v>13</v>
      </c>
      <c r="H134" s="2">
        <f t="shared" si="2"/>
        <v>1</v>
      </c>
    </row>
    <row r="135" spans="1:8" x14ac:dyDescent="0.45">
      <c r="A135" s="55" t="s">
        <v>144</v>
      </c>
      <c r="B135" s="55" t="s">
        <v>191</v>
      </c>
      <c r="C135" s="55" t="s">
        <v>192</v>
      </c>
      <c r="D135" s="55" t="s">
        <v>193</v>
      </c>
      <c r="E135" s="55" t="s">
        <v>15</v>
      </c>
      <c r="F135" s="55" t="s">
        <v>197</v>
      </c>
      <c r="G135" s="2" t="s">
        <v>13</v>
      </c>
      <c r="H135" s="2">
        <f t="shared" si="2"/>
        <v>1</v>
      </c>
    </row>
    <row r="136" spans="1:8" x14ac:dyDescent="0.45">
      <c r="A136" s="55" t="s">
        <v>144</v>
      </c>
      <c r="B136" s="55" t="s">
        <v>191</v>
      </c>
      <c r="C136" s="55" t="s">
        <v>192</v>
      </c>
      <c r="D136" s="55" t="s">
        <v>193</v>
      </c>
      <c r="E136" s="55" t="s">
        <v>15</v>
      </c>
      <c r="F136" s="55" t="s">
        <v>198</v>
      </c>
      <c r="G136" s="2" t="s">
        <v>13</v>
      </c>
      <c r="H136" s="2">
        <f t="shared" si="2"/>
        <v>1</v>
      </c>
    </row>
    <row r="137" spans="1:8" x14ac:dyDescent="0.45">
      <c r="A137" s="55" t="s">
        <v>144</v>
      </c>
      <c r="B137" s="55" t="s">
        <v>191</v>
      </c>
      <c r="C137" s="55" t="s">
        <v>192</v>
      </c>
      <c r="D137" s="55" t="s">
        <v>193</v>
      </c>
      <c r="E137" s="55" t="s">
        <v>19</v>
      </c>
      <c r="F137" s="55" t="s">
        <v>199</v>
      </c>
      <c r="G137" s="2" t="s">
        <v>13</v>
      </c>
      <c r="H137" s="2">
        <f t="shared" si="2"/>
        <v>1</v>
      </c>
    </row>
    <row r="138" spans="1:8" x14ac:dyDescent="0.45">
      <c r="A138" s="55" t="s">
        <v>144</v>
      </c>
      <c r="B138" s="55" t="s">
        <v>191</v>
      </c>
      <c r="C138" s="55" t="s">
        <v>192</v>
      </c>
      <c r="D138" s="55" t="s">
        <v>193</v>
      </c>
      <c r="E138" s="55" t="s">
        <v>19</v>
      </c>
      <c r="F138" s="55" t="s">
        <v>200</v>
      </c>
      <c r="G138" s="2" t="s">
        <v>13</v>
      </c>
      <c r="H138" s="2">
        <f t="shared" si="2"/>
        <v>1</v>
      </c>
    </row>
    <row r="139" spans="1:8" x14ac:dyDescent="0.45">
      <c r="A139" s="55" t="s">
        <v>144</v>
      </c>
      <c r="B139" s="55" t="s">
        <v>191</v>
      </c>
      <c r="C139" s="55" t="s">
        <v>192</v>
      </c>
      <c r="D139" s="55" t="s">
        <v>193</v>
      </c>
      <c r="E139" s="55" t="s">
        <v>19</v>
      </c>
      <c r="F139" s="55" t="s">
        <v>201</v>
      </c>
      <c r="G139" s="2" t="s">
        <v>13</v>
      </c>
      <c r="H139" s="2">
        <f t="shared" si="2"/>
        <v>1</v>
      </c>
    </row>
    <row r="140" spans="1:8" x14ac:dyDescent="0.45">
      <c r="A140" s="55" t="s">
        <v>144</v>
      </c>
      <c r="B140" s="55" t="s">
        <v>202</v>
      </c>
      <c r="C140" s="55" t="s">
        <v>202</v>
      </c>
      <c r="D140" s="55" t="s">
        <v>203</v>
      </c>
      <c r="E140" s="55" t="s">
        <v>11</v>
      </c>
      <c r="F140" s="55" t="s">
        <v>204</v>
      </c>
      <c r="G140" s="2" t="s">
        <v>13</v>
      </c>
      <c r="H140" s="2">
        <f t="shared" si="2"/>
        <v>1</v>
      </c>
    </row>
    <row r="141" spans="1:8" x14ac:dyDescent="0.45">
      <c r="A141" s="55" t="s">
        <v>144</v>
      </c>
      <c r="B141" s="55" t="s">
        <v>202</v>
      </c>
      <c r="C141" s="55" t="s">
        <v>202</v>
      </c>
      <c r="D141" s="55" t="s">
        <v>203</v>
      </c>
      <c r="E141" s="55" t="s">
        <v>11</v>
      </c>
      <c r="F141" s="55" t="s">
        <v>205</v>
      </c>
      <c r="G141" s="2" t="s">
        <v>13</v>
      </c>
      <c r="H141" s="2">
        <f t="shared" si="2"/>
        <v>1</v>
      </c>
    </row>
    <row r="142" spans="1:8" x14ac:dyDescent="0.45">
      <c r="A142" s="55" t="s">
        <v>144</v>
      </c>
      <c r="B142" s="55" t="s">
        <v>202</v>
      </c>
      <c r="C142" s="55" t="s">
        <v>202</v>
      </c>
      <c r="D142" s="55" t="s">
        <v>203</v>
      </c>
      <c r="E142" s="55" t="s">
        <v>11</v>
      </c>
      <c r="F142" s="55" t="s">
        <v>206</v>
      </c>
      <c r="G142" s="2" t="s">
        <v>13</v>
      </c>
      <c r="H142" s="2">
        <f t="shared" si="2"/>
        <v>1</v>
      </c>
    </row>
    <row r="143" spans="1:8" x14ac:dyDescent="0.45">
      <c r="A143" s="55" t="s">
        <v>144</v>
      </c>
      <c r="B143" s="55" t="s">
        <v>202</v>
      </c>
      <c r="C143" s="55" t="s">
        <v>202</v>
      </c>
      <c r="D143" s="55" t="s">
        <v>203</v>
      </c>
      <c r="E143" s="55" t="s">
        <v>15</v>
      </c>
      <c r="F143" s="55" t="s">
        <v>207</v>
      </c>
      <c r="G143" s="2" t="s">
        <v>13</v>
      </c>
      <c r="H143" s="2">
        <f t="shared" si="2"/>
        <v>1</v>
      </c>
    </row>
    <row r="144" spans="1:8" x14ac:dyDescent="0.45">
      <c r="A144" s="55" t="s">
        <v>144</v>
      </c>
      <c r="B144" s="55" t="s">
        <v>202</v>
      </c>
      <c r="C144" s="55" t="s">
        <v>202</v>
      </c>
      <c r="D144" s="55" t="s">
        <v>203</v>
      </c>
      <c r="E144" s="55" t="s">
        <v>15</v>
      </c>
      <c r="F144" s="55" t="s">
        <v>208</v>
      </c>
      <c r="G144" s="2" t="s">
        <v>13</v>
      </c>
      <c r="H144" s="2">
        <f t="shared" si="2"/>
        <v>1</v>
      </c>
    </row>
    <row r="145" spans="1:8" x14ac:dyDescent="0.45">
      <c r="A145" s="55" t="s">
        <v>144</v>
      </c>
      <c r="B145" s="55" t="s">
        <v>202</v>
      </c>
      <c r="C145" s="55" t="s">
        <v>202</v>
      </c>
      <c r="D145" s="55" t="s">
        <v>203</v>
      </c>
      <c r="E145" s="55" t="s">
        <v>19</v>
      </c>
      <c r="F145" s="55" t="s">
        <v>209</v>
      </c>
      <c r="G145" s="2" t="s">
        <v>13</v>
      </c>
      <c r="H145" s="2">
        <f t="shared" si="2"/>
        <v>1</v>
      </c>
    </row>
    <row r="146" spans="1:8" x14ac:dyDescent="0.45">
      <c r="A146" s="55" t="s">
        <v>144</v>
      </c>
      <c r="B146" s="55" t="s">
        <v>202</v>
      </c>
      <c r="C146" s="55" t="s">
        <v>202</v>
      </c>
      <c r="D146" s="55" t="s">
        <v>203</v>
      </c>
      <c r="E146" s="55" t="s">
        <v>19</v>
      </c>
      <c r="F146" s="55" t="s">
        <v>210</v>
      </c>
      <c r="G146" s="2" t="s">
        <v>13</v>
      </c>
      <c r="H146" s="2">
        <f t="shared" si="2"/>
        <v>1</v>
      </c>
    </row>
    <row r="147" spans="1:8" x14ac:dyDescent="0.45">
      <c r="A147" s="55" t="s">
        <v>144</v>
      </c>
      <c r="B147" s="55" t="s">
        <v>202</v>
      </c>
      <c r="C147" s="55" t="s">
        <v>202</v>
      </c>
      <c r="D147" s="55" t="s">
        <v>203</v>
      </c>
      <c r="E147" s="55" t="s">
        <v>19</v>
      </c>
      <c r="F147" s="55" t="s">
        <v>211</v>
      </c>
      <c r="G147" s="2" t="s">
        <v>13</v>
      </c>
      <c r="H147" s="2">
        <f t="shared" si="2"/>
        <v>1</v>
      </c>
    </row>
    <row r="148" spans="1:8" x14ac:dyDescent="0.45">
      <c r="A148" s="55" t="s">
        <v>212</v>
      </c>
      <c r="B148" s="55" t="s">
        <v>213</v>
      </c>
      <c r="C148" s="55" t="s">
        <v>214</v>
      </c>
      <c r="D148" s="55" t="s">
        <v>215</v>
      </c>
      <c r="E148" s="55" t="s">
        <v>11</v>
      </c>
      <c r="F148" s="55" t="s">
        <v>216</v>
      </c>
      <c r="G148" s="2" t="s">
        <v>13</v>
      </c>
      <c r="H148" s="2">
        <f t="shared" si="2"/>
        <v>1</v>
      </c>
    </row>
    <row r="149" spans="1:8" x14ac:dyDescent="0.45">
      <c r="A149" s="55" t="s">
        <v>212</v>
      </c>
      <c r="B149" s="55" t="s">
        <v>213</v>
      </c>
      <c r="C149" s="55" t="s">
        <v>214</v>
      </c>
      <c r="D149" s="55" t="s">
        <v>215</v>
      </c>
      <c r="E149" s="55" t="s">
        <v>11</v>
      </c>
      <c r="F149" s="55" t="s">
        <v>217</v>
      </c>
      <c r="G149" s="2" t="s">
        <v>13</v>
      </c>
      <c r="H149" s="2">
        <f t="shared" si="2"/>
        <v>1</v>
      </c>
    </row>
    <row r="150" spans="1:8" x14ac:dyDescent="0.45">
      <c r="A150" s="55" t="s">
        <v>212</v>
      </c>
      <c r="B150" s="55" t="s">
        <v>213</v>
      </c>
      <c r="C150" s="55" t="s">
        <v>214</v>
      </c>
      <c r="D150" s="55" t="s">
        <v>215</v>
      </c>
      <c r="E150" s="55" t="s">
        <v>11</v>
      </c>
      <c r="F150" s="55" t="s">
        <v>218</v>
      </c>
      <c r="G150" s="2" t="s">
        <v>13</v>
      </c>
      <c r="H150" s="2">
        <f t="shared" si="2"/>
        <v>1</v>
      </c>
    </row>
    <row r="151" spans="1:8" x14ac:dyDescent="0.45">
      <c r="A151" s="55" t="s">
        <v>212</v>
      </c>
      <c r="B151" s="55" t="s">
        <v>213</v>
      </c>
      <c r="C151" s="55" t="s">
        <v>214</v>
      </c>
      <c r="D151" s="55" t="s">
        <v>215</v>
      </c>
      <c r="E151" s="55" t="s">
        <v>15</v>
      </c>
      <c r="F151" s="55" t="s">
        <v>219</v>
      </c>
      <c r="G151" s="2" t="s">
        <v>13</v>
      </c>
      <c r="H151" s="2">
        <f t="shared" si="2"/>
        <v>1</v>
      </c>
    </row>
    <row r="152" spans="1:8" x14ac:dyDescent="0.45">
      <c r="A152" s="55" t="s">
        <v>212</v>
      </c>
      <c r="B152" s="55" t="s">
        <v>213</v>
      </c>
      <c r="C152" s="55" t="s">
        <v>214</v>
      </c>
      <c r="D152" s="55" t="s">
        <v>215</v>
      </c>
      <c r="E152" s="55" t="s">
        <v>15</v>
      </c>
      <c r="F152" s="55" t="s">
        <v>220</v>
      </c>
      <c r="G152" s="2" t="s">
        <v>13</v>
      </c>
      <c r="H152" s="2">
        <f t="shared" si="2"/>
        <v>1</v>
      </c>
    </row>
    <row r="153" spans="1:8" x14ac:dyDescent="0.45">
      <c r="A153" s="55" t="s">
        <v>212</v>
      </c>
      <c r="B153" s="55" t="s">
        <v>213</v>
      </c>
      <c r="C153" s="55" t="s">
        <v>214</v>
      </c>
      <c r="D153" s="55" t="s">
        <v>215</v>
      </c>
      <c r="E153" s="55" t="s">
        <v>19</v>
      </c>
      <c r="F153" s="55" t="s">
        <v>221</v>
      </c>
      <c r="G153" s="2" t="s">
        <v>13</v>
      </c>
      <c r="H153" s="2">
        <f t="shared" si="2"/>
        <v>1</v>
      </c>
    </row>
    <row r="154" spans="1:8" x14ac:dyDescent="0.45">
      <c r="A154" s="55" t="s">
        <v>212</v>
      </c>
      <c r="B154" s="55" t="s">
        <v>213</v>
      </c>
      <c r="C154" s="55" t="s">
        <v>214</v>
      </c>
      <c r="D154" s="55" t="s">
        <v>215</v>
      </c>
      <c r="E154" s="55" t="s">
        <v>19</v>
      </c>
      <c r="F154" s="55" t="s">
        <v>222</v>
      </c>
      <c r="G154" s="2" t="s">
        <v>13</v>
      </c>
      <c r="H154" s="2">
        <f t="shared" si="2"/>
        <v>1</v>
      </c>
    </row>
    <row r="155" spans="1:8" x14ac:dyDescent="0.45">
      <c r="A155" s="55" t="s">
        <v>212</v>
      </c>
      <c r="B155" s="55" t="s">
        <v>213</v>
      </c>
      <c r="C155" s="55" t="s">
        <v>214</v>
      </c>
      <c r="D155" s="55" t="s">
        <v>215</v>
      </c>
      <c r="E155" s="55" t="s">
        <v>19</v>
      </c>
      <c r="F155" s="55" t="s">
        <v>223</v>
      </c>
      <c r="G155" s="2" t="s">
        <v>13</v>
      </c>
      <c r="H155" s="2">
        <f t="shared" si="2"/>
        <v>1</v>
      </c>
    </row>
    <row r="156" spans="1:8" x14ac:dyDescent="0.45">
      <c r="A156" s="55" t="s">
        <v>212</v>
      </c>
      <c r="B156" s="55" t="s">
        <v>213</v>
      </c>
      <c r="C156" s="55" t="s">
        <v>214</v>
      </c>
      <c r="D156" s="55" t="s">
        <v>215</v>
      </c>
      <c r="E156" s="55" t="s">
        <v>19</v>
      </c>
      <c r="F156" s="55" t="s">
        <v>224</v>
      </c>
      <c r="G156" s="2" t="s">
        <v>13</v>
      </c>
      <c r="H156" s="2">
        <f t="shared" si="2"/>
        <v>1</v>
      </c>
    </row>
    <row r="157" spans="1:8" x14ac:dyDescent="0.45">
      <c r="A157" s="55" t="s">
        <v>212</v>
      </c>
      <c r="B157" s="55" t="s">
        <v>213</v>
      </c>
      <c r="C157" s="55" t="s">
        <v>214</v>
      </c>
      <c r="D157" s="55" t="s">
        <v>215</v>
      </c>
      <c r="E157" s="55" t="s">
        <v>19</v>
      </c>
      <c r="F157" s="55" t="s">
        <v>225</v>
      </c>
      <c r="G157" s="2" t="s">
        <v>13</v>
      </c>
      <c r="H157" s="2">
        <f t="shared" si="2"/>
        <v>1</v>
      </c>
    </row>
    <row r="158" spans="1:8" x14ac:dyDescent="0.45">
      <c r="A158" s="55" t="s">
        <v>212</v>
      </c>
      <c r="B158" s="55" t="s">
        <v>213</v>
      </c>
      <c r="C158" s="55" t="s">
        <v>214</v>
      </c>
      <c r="D158" s="55" t="s">
        <v>215</v>
      </c>
      <c r="E158" s="55" t="s">
        <v>19</v>
      </c>
      <c r="F158" s="55" t="s">
        <v>226</v>
      </c>
      <c r="G158" s="2" t="s">
        <v>13</v>
      </c>
      <c r="H158" s="2">
        <f t="shared" si="2"/>
        <v>1</v>
      </c>
    </row>
    <row r="159" spans="1:8" x14ac:dyDescent="0.45">
      <c r="A159" s="55" t="s">
        <v>212</v>
      </c>
      <c r="B159" s="55" t="s">
        <v>227</v>
      </c>
      <c r="C159" s="55" t="s">
        <v>228</v>
      </c>
      <c r="D159" s="55" t="s">
        <v>229</v>
      </c>
      <c r="E159" s="55" t="s">
        <v>11</v>
      </c>
      <c r="F159" s="55" t="s">
        <v>230</v>
      </c>
      <c r="G159" s="2" t="s">
        <v>13</v>
      </c>
      <c r="H159" s="2">
        <f t="shared" si="2"/>
        <v>1</v>
      </c>
    </row>
    <row r="160" spans="1:8" x14ac:dyDescent="0.45">
      <c r="A160" s="55" t="s">
        <v>212</v>
      </c>
      <c r="B160" s="55" t="s">
        <v>227</v>
      </c>
      <c r="C160" s="55" t="s">
        <v>228</v>
      </c>
      <c r="D160" s="55" t="s">
        <v>229</v>
      </c>
      <c r="E160" s="55" t="s">
        <v>11</v>
      </c>
      <c r="F160" s="55" t="s">
        <v>231</v>
      </c>
      <c r="G160" s="2" t="s">
        <v>13</v>
      </c>
      <c r="H160" s="2">
        <f t="shared" si="2"/>
        <v>1</v>
      </c>
    </row>
    <row r="161" spans="1:8" x14ac:dyDescent="0.45">
      <c r="A161" s="55" t="s">
        <v>212</v>
      </c>
      <c r="B161" s="55" t="s">
        <v>227</v>
      </c>
      <c r="C161" s="55" t="s">
        <v>228</v>
      </c>
      <c r="D161" s="55" t="s">
        <v>229</v>
      </c>
      <c r="E161" s="55" t="s">
        <v>11</v>
      </c>
      <c r="F161" s="55" t="s">
        <v>232</v>
      </c>
      <c r="G161" s="2" t="s">
        <v>13</v>
      </c>
      <c r="H161" s="2">
        <f t="shared" si="2"/>
        <v>1</v>
      </c>
    </row>
    <row r="162" spans="1:8" x14ac:dyDescent="0.45">
      <c r="A162" s="55" t="s">
        <v>212</v>
      </c>
      <c r="B162" s="55" t="s">
        <v>227</v>
      </c>
      <c r="C162" s="55" t="s">
        <v>228</v>
      </c>
      <c r="D162" s="55" t="s">
        <v>229</v>
      </c>
      <c r="E162" s="55" t="s">
        <v>11</v>
      </c>
      <c r="F162" s="55" t="s">
        <v>233</v>
      </c>
      <c r="G162" s="2" t="s">
        <v>13</v>
      </c>
      <c r="H162" s="2">
        <f t="shared" si="2"/>
        <v>1</v>
      </c>
    </row>
    <row r="163" spans="1:8" x14ac:dyDescent="0.45">
      <c r="A163" s="55" t="s">
        <v>212</v>
      </c>
      <c r="B163" s="55" t="s">
        <v>227</v>
      </c>
      <c r="C163" s="55" t="s">
        <v>228</v>
      </c>
      <c r="D163" s="55" t="s">
        <v>229</v>
      </c>
      <c r="E163" s="55" t="s">
        <v>15</v>
      </c>
      <c r="F163" s="55" t="s">
        <v>234</v>
      </c>
      <c r="G163" s="2" t="s">
        <v>13</v>
      </c>
      <c r="H163" s="2">
        <f t="shared" si="2"/>
        <v>1</v>
      </c>
    </row>
    <row r="164" spans="1:8" x14ac:dyDescent="0.45">
      <c r="A164" s="55" t="s">
        <v>212</v>
      </c>
      <c r="B164" s="55" t="s">
        <v>227</v>
      </c>
      <c r="C164" s="55" t="s">
        <v>228</v>
      </c>
      <c r="D164" s="55" t="s">
        <v>229</v>
      </c>
      <c r="E164" s="55" t="s">
        <v>15</v>
      </c>
      <c r="F164" s="55" t="s">
        <v>235</v>
      </c>
      <c r="G164" s="2" t="s">
        <v>13</v>
      </c>
      <c r="H164" s="2">
        <f t="shared" si="2"/>
        <v>1</v>
      </c>
    </row>
    <row r="165" spans="1:8" x14ac:dyDescent="0.45">
      <c r="A165" s="55" t="s">
        <v>212</v>
      </c>
      <c r="B165" s="55" t="s">
        <v>227</v>
      </c>
      <c r="C165" s="55" t="s">
        <v>228</v>
      </c>
      <c r="D165" s="55" t="s">
        <v>229</v>
      </c>
      <c r="E165" s="55" t="s">
        <v>15</v>
      </c>
      <c r="F165" s="55" t="s">
        <v>236</v>
      </c>
      <c r="G165" s="2" t="s">
        <v>13</v>
      </c>
      <c r="H165" s="2">
        <f t="shared" si="2"/>
        <v>1</v>
      </c>
    </row>
    <row r="166" spans="1:8" x14ac:dyDescent="0.45">
      <c r="A166" s="55" t="s">
        <v>212</v>
      </c>
      <c r="B166" s="55" t="s">
        <v>227</v>
      </c>
      <c r="C166" s="55" t="s">
        <v>228</v>
      </c>
      <c r="D166" s="55" t="s">
        <v>229</v>
      </c>
      <c r="E166" s="55" t="s">
        <v>15</v>
      </c>
      <c r="F166" s="55" t="s">
        <v>237</v>
      </c>
      <c r="G166" s="2" t="s">
        <v>13</v>
      </c>
      <c r="H166" s="2">
        <f t="shared" si="2"/>
        <v>1</v>
      </c>
    </row>
    <row r="167" spans="1:8" x14ac:dyDescent="0.45">
      <c r="A167" s="55" t="s">
        <v>212</v>
      </c>
      <c r="B167" s="55" t="s">
        <v>227</v>
      </c>
      <c r="C167" s="55" t="s">
        <v>228</v>
      </c>
      <c r="D167" s="55" t="s">
        <v>229</v>
      </c>
      <c r="E167" s="55" t="s">
        <v>19</v>
      </c>
      <c r="F167" s="55" t="s">
        <v>238</v>
      </c>
      <c r="G167" s="2" t="s">
        <v>13</v>
      </c>
      <c r="H167" s="2">
        <f t="shared" si="2"/>
        <v>1</v>
      </c>
    </row>
    <row r="168" spans="1:8" x14ac:dyDescent="0.45">
      <c r="A168" s="55" t="s">
        <v>212</v>
      </c>
      <c r="B168" s="55" t="s">
        <v>227</v>
      </c>
      <c r="C168" s="55" t="s">
        <v>228</v>
      </c>
      <c r="D168" s="55" t="s">
        <v>229</v>
      </c>
      <c r="E168" s="55" t="s">
        <v>19</v>
      </c>
      <c r="F168" s="55" t="s">
        <v>239</v>
      </c>
      <c r="G168" s="2" t="s">
        <v>13</v>
      </c>
      <c r="H168" s="2">
        <f t="shared" si="2"/>
        <v>1</v>
      </c>
    </row>
    <row r="169" spans="1:8" x14ac:dyDescent="0.45">
      <c r="A169" s="55" t="s">
        <v>212</v>
      </c>
      <c r="B169" s="55" t="s">
        <v>227</v>
      </c>
      <c r="C169" s="55" t="s">
        <v>228</v>
      </c>
      <c r="D169" s="55" t="s">
        <v>229</v>
      </c>
      <c r="E169" s="55" t="s">
        <v>19</v>
      </c>
      <c r="F169" s="55" t="s">
        <v>240</v>
      </c>
      <c r="G169" s="2" t="s">
        <v>13</v>
      </c>
      <c r="H169" s="2">
        <f t="shared" si="2"/>
        <v>1</v>
      </c>
    </row>
    <row r="170" spans="1:8" x14ac:dyDescent="0.45">
      <c r="A170" s="55" t="s">
        <v>212</v>
      </c>
      <c r="B170" s="55" t="s">
        <v>227</v>
      </c>
      <c r="C170" s="55" t="s">
        <v>228</v>
      </c>
      <c r="D170" s="55" t="s">
        <v>229</v>
      </c>
      <c r="E170" s="55" t="s">
        <v>19</v>
      </c>
      <c r="F170" s="55" t="s">
        <v>241</v>
      </c>
      <c r="G170" s="2" t="s">
        <v>13</v>
      </c>
      <c r="H170" s="2">
        <f t="shared" si="2"/>
        <v>1</v>
      </c>
    </row>
    <row r="171" spans="1:8" x14ac:dyDescent="0.45">
      <c r="A171" s="55" t="s">
        <v>212</v>
      </c>
      <c r="B171" s="55" t="s">
        <v>242</v>
      </c>
      <c r="C171" s="55" t="s">
        <v>243</v>
      </c>
      <c r="D171" s="55" t="s">
        <v>244</v>
      </c>
      <c r="E171" s="55" t="s">
        <v>11</v>
      </c>
      <c r="F171" s="55" t="s">
        <v>245</v>
      </c>
      <c r="G171" s="2" t="s">
        <v>13</v>
      </c>
      <c r="H171" s="2">
        <f t="shared" si="2"/>
        <v>1</v>
      </c>
    </row>
    <row r="172" spans="1:8" x14ac:dyDescent="0.45">
      <c r="A172" s="55" t="s">
        <v>212</v>
      </c>
      <c r="B172" s="55" t="s">
        <v>242</v>
      </c>
      <c r="C172" s="55" t="s">
        <v>243</v>
      </c>
      <c r="D172" s="55" t="s">
        <v>244</v>
      </c>
      <c r="E172" s="55" t="s">
        <v>11</v>
      </c>
      <c r="F172" s="55" t="s">
        <v>246</v>
      </c>
      <c r="G172" s="2" t="s">
        <v>13</v>
      </c>
      <c r="H172" s="2">
        <f t="shared" si="2"/>
        <v>1</v>
      </c>
    </row>
    <row r="173" spans="1:8" x14ac:dyDescent="0.45">
      <c r="A173" s="55" t="s">
        <v>212</v>
      </c>
      <c r="B173" s="55" t="s">
        <v>242</v>
      </c>
      <c r="C173" s="55" t="s">
        <v>243</v>
      </c>
      <c r="D173" s="55" t="s">
        <v>244</v>
      </c>
      <c r="E173" s="55" t="s">
        <v>15</v>
      </c>
      <c r="F173" s="55" t="s">
        <v>247</v>
      </c>
      <c r="G173" s="2" t="s">
        <v>13</v>
      </c>
      <c r="H173" s="2">
        <f t="shared" si="2"/>
        <v>1</v>
      </c>
    </row>
    <row r="174" spans="1:8" x14ac:dyDescent="0.45">
      <c r="A174" s="55" t="s">
        <v>212</v>
      </c>
      <c r="B174" s="55" t="s">
        <v>242</v>
      </c>
      <c r="C174" s="55" t="s">
        <v>243</v>
      </c>
      <c r="D174" s="55" t="s">
        <v>244</v>
      </c>
      <c r="E174" s="55" t="s">
        <v>15</v>
      </c>
      <c r="F174" s="55" t="s">
        <v>248</v>
      </c>
      <c r="G174" s="2" t="s">
        <v>13</v>
      </c>
      <c r="H174" s="2">
        <f t="shared" si="2"/>
        <v>1</v>
      </c>
    </row>
    <row r="175" spans="1:8" x14ac:dyDescent="0.45">
      <c r="A175" s="55" t="s">
        <v>212</v>
      </c>
      <c r="B175" s="55" t="s">
        <v>242</v>
      </c>
      <c r="C175" s="55" t="s">
        <v>243</v>
      </c>
      <c r="D175" s="55" t="s">
        <v>244</v>
      </c>
      <c r="E175" s="55" t="s">
        <v>19</v>
      </c>
      <c r="F175" s="55" t="s">
        <v>249</v>
      </c>
      <c r="G175" s="2" t="s">
        <v>13</v>
      </c>
      <c r="H175" s="2">
        <f t="shared" si="2"/>
        <v>1</v>
      </c>
    </row>
    <row r="176" spans="1:8" x14ac:dyDescent="0.45">
      <c r="A176" s="55" t="s">
        <v>212</v>
      </c>
      <c r="B176" s="55" t="s">
        <v>242</v>
      </c>
      <c r="C176" s="55" t="s">
        <v>243</v>
      </c>
      <c r="D176" s="55" t="s">
        <v>244</v>
      </c>
      <c r="E176" s="55" t="s">
        <v>19</v>
      </c>
      <c r="F176" s="55" t="s">
        <v>250</v>
      </c>
      <c r="G176" s="2" t="s">
        <v>13</v>
      </c>
      <c r="H176" s="2">
        <f t="shared" si="2"/>
        <v>1</v>
      </c>
    </row>
    <row r="177" spans="1:8" x14ac:dyDescent="0.45">
      <c r="A177" s="55" t="s">
        <v>212</v>
      </c>
      <c r="B177" s="55" t="s">
        <v>251</v>
      </c>
      <c r="C177" s="55" t="s">
        <v>251</v>
      </c>
      <c r="D177" s="55" t="s">
        <v>252</v>
      </c>
      <c r="E177" s="55" t="s">
        <v>11</v>
      </c>
      <c r="F177" s="55" t="s">
        <v>253</v>
      </c>
      <c r="G177" s="2" t="s">
        <v>13</v>
      </c>
      <c r="H177" s="2">
        <f t="shared" si="2"/>
        <v>1</v>
      </c>
    </row>
    <row r="178" spans="1:8" x14ac:dyDescent="0.45">
      <c r="A178" s="55" t="s">
        <v>212</v>
      </c>
      <c r="B178" s="55" t="s">
        <v>251</v>
      </c>
      <c r="C178" s="55" t="s">
        <v>251</v>
      </c>
      <c r="D178" s="55" t="s">
        <v>252</v>
      </c>
      <c r="E178" s="55" t="s">
        <v>11</v>
      </c>
      <c r="F178" s="55" t="s">
        <v>254</v>
      </c>
      <c r="G178" s="2" t="s">
        <v>13</v>
      </c>
      <c r="H178" s="2">
        <f t="shared" si="2"/>
        <v>1</v>
      </c>
    </row>
    <row r="179" spans="1:8" x14ac:dyDescent="0.45">
      <c r="A179" s="55" t="s">
        <v>212</v>
      </c>
      <c r="B179" s="55" t="s">
        <v>251</v>
      </c>
      <c r="C179" s="55" t="s">
        <v>251</v>
      </c>
      <c r="D179" s="55" t="s">
        <v>252</v>
      </c>
      <c r="E179" s="55" t="s">
        <v>11</v>
      </c>
      <c r="F179" s="55" t="s">
        <v>255</v>
      </c>
      <c r="G179" s="2" t="s">
        <v>13</v>
      </c>
      <c r="H179" s="2">
        <f t="shared" si="2"/>
        <v>1</v>
      </c>
    </row>
    <row r="180" spans="1:8" x14ac:dyDescent="0.45">
      <c r="A180" s="55" t="s">
        <v>212</v>
      </c>
      <c r="B180" s="55" t="s">
        <v>251</v>
      </c>
      <c r="C180" s="55" t="s">
        <v>251</v>
      </c>
      <c r="D180" s="55" t="s">
        <v>252</v>
      </c>
      <c r="E180" s="55" t="s">
        <v>15</v>
      </c>
      <c r="F180" s="55" t="s">
        <v>256</v>
      </c>
      <c r="G180" s="2" t="s">
        <v>13</v>
      </c>
      <c r="H180" s="2">
        <f t="shared" si="2"/>
        <v>1</v>
      </c>
    </row>
    <row r="181" spans="1:8" x14ac:dyDescent="0.45">
      <c r="A181" s="55" t="s">
        <v>212</v>
      </c>
      <c r="B181" s="55" t="s">
        <v>251</v>
      </c>
      <c r="C181" s="55" t="s">
        <v>251</v>
      </c>
      <c r="D181" s="55" t="s">
        <v>252</v>
      </c>
      <c r="E181" s="55" t="s">
        <v>15</v>
      </c>
      <c r="F181" s="55" t="s">
        <v>257</v>
      </c>
      <c r="G181" s="2" t="s">
        <v>13</v>
      </c>
      <c r="H181" s="2">
        <f t="shared" si="2"/>
        <v>1</v>
      </c>
    </row>
    <row r="182" spans="1:8" x14ac:dyDescent="0.45">
      <c r="A182" s="55" t="s">
        <v>212</v>
      </c>
      <c r="B182" s="55" t="s">
        <v>251</v>
      </c>
      <c r="C182" s="55" t="s">
        <v>251</v>
      </c>
      <c r="D182" s="55" t="s">
        <v>252</v>
      </c>
      <c r="E182" s="55" t="s">
        <v>15</v>
      </c>
      <c r="F182" s="55" t="s">
        <v>258</v>
      </c>
      <c r="G182" s="2" t="s">
        <v>13</v>
      </c>
      <c r="H182" s="2">
        <f t="shared" si="2"/>
        <v>1</v>
      </c>
    </row>
    <row r="183" spans="1:8" x14ac:dyDescent="0.45">
      <c r="A183" s="55" t="s">
        <v>212</v>
      </c>
      <c r="B183" s="55" t="s">
        <v>251</v>
      </c>
      <c r="C183" s="55" t="s">
        <v>251</v>
      </c>
      <c r="D183" s="55" t="s">
        <v>252</v>
      </c>
      <c r="E183" s="55" t="s">
        <v>15</v>
      </c>
      <c r="F183" s="55" t="s">
        <v>259</v>
      </c>
      <c r="G183" s="2" t="s">
        <v>13</v>
      </c>
      <c r="H183" s="2">
        <f t="shared" si="2"/>
        <v>1</v>
      </c>
    </row>
    <row r="184" spans="1:8" x14ac:dyDescent="0.45">
      <c r="A184" s="55" t="s">
        <v>212</v>
      </c>
      <c r="B184" s="55" t="s">
        <v>251</v>
      </c>
      <c r="C184" s="55" t="s">
        <v>251</v>
      </c>
      <c r="D184" s="55" t="s">
        <v>252</v>
      </c>
      <c r="E184" s="55" t="s">
        <v>19</v>
      </c>
      <c r="F184" s="55" t="s">
        <v>260</v>
      </c>
      <c r="G184" s="2" t="s">
        <v>13</v>
      </c>
      <c r="H184" s="2">
        <f t="shared" si="2"/>
        <v>1</v>
      </c>
    </row>
    <row r="185" spans="1:8" x14ac:dyDescent="0.45">
      <c r="A185" s="55" t="s">
        <v>212</v>
      </c>
      <c r="B185" s="55" t="s">
        <v>251</v>
      </c>
      <c r="C185" s="55" t="s">
        <v>251</v>
      </c>
      <c r="D185" s="55" t="s">
        <v>252</v>
      </c>
      <c r="E185" s="55" t="s">
        <v>19</v>
      </c>
      <c r="F185" s="55" t="s">
        <v>261</v>
      </c>
      <c r="G185" s="2" t="s">
        <v>13</v>
      </c>
      <c r="H185" s="2">
        <f t="shared" si="2"/>
        <v>1</v>
      </c>
    </row>
    <row r="186" spans="1:8" x14ac:dyDescent="0.45">
      <c r="A186" s="55" t="s">
        <v>212</v>
      </c>
      <c r="B186" s="55" t="s">
        <v>251</v>
      </c>
      <c r="C186" s="55" t="s">
        <v>251</v>
      </c>
      <c r="D186" s="55" t="s">
        <v>252</v>
      </c>
      <c r="E186" s="55" t="s">
        <v>19</v>
      </c>
      <c r="F186" s="55" t="s">
        <v>262</v>
      </c>
      <c r="G186" s="2" t="s">
        <v>13</v>
      </c>
      <c r="H186" s="2">
        <f t="shared" si="2"/>
        <v>1</v>
      </c>
    </row>
    <row r="187" spans="1:8" x14ac:dyDescent="0.45">
      <c r="A187" s="55" t="s">
        <v>212</v>
      </c>
      <c r="B187" s="55" t="s">
        <v>251</v>
      </c>
      <c r="C187" s="55" t="s">
        <v>251</v>
      </c>
      <c r="D187" s="55" t="s">
        <v>252</v>
      </c>
      <c r="E187" s="55" t="s">
        <v>19</v>
      </c>
      <c r="F187" s="55" t="s">
        <v>263</v>
      </c>
      <c r="G187" s="2" t="s">
        <v>13</v>
      </c>
      <c r="H187" s="2">
        <f t="shared" si="2"/>
        <v>1</v>
      </c>
    </row>
    <row r="188" spans="1:8" x14ac:dyDescent="0.45">
      <c r="A188" s="55" t="s">
        <v>212</v>
      </c>
      <c r="B188" s="55" t="s">
        <v>251</v>
      </c>
      <c r="C188" s="55" t="s">
        <v>251</v>
      </c>
      <c r="D188" s="55" t="s">
        <v>252</v>
      </c>
      <c r="E188" s="55" t="s">
        <v>19</v>
      </c>
      <c r="F188" s="55" t="s">
        <v>264</v>
      </c>
      <c r="G188" s="2" t="s">
        <v>13</v>
      </c>
      <c r="H188" s="2">
        <f t="shared" si="2"/>
        <v>1</v>
      </c>
    </row>
    <row r="189" spans="1:8" x14ac:dyDescent="0.45">
      <c r="A189" s="55" t="s">
        <v>212</v>
      </c>
      <c r="B189" s="55" t="s">
        <v>251</v>
      </c>
      <c r="C189" s="55" t="s">
        <v>265</v>
      </c>
      <c r="D189" s="55" t="s">
        <v>266</v>
      </c>
      <c r="E189" s="55" t="s">
        <v>11</v>
      </c>
      <c r="F189" s="55" t="s">
        <v>267</v>
      </c>
      <c r="G189" s="2" t="s">
        <v>13</v>
      </c>
      <c r="H189" s="2">
        <f t="shared" si="2"/>
        <v>1</v>
      </c>
    </row>
    <row r="190" spans="1:8" x14ac:dyDescent="0.45">
      <c r="A190" s="55" t="s">
        <v>212</v>
      </c>
      <c r="B190" s="55" t="s">
        <v>251</v>
      </c>
      <c r="C190" s="55" t="s">
        <v>265</v>
      </c>
      <c r="D190" s="55" t="s">
        <v>266</v>
      </c>
      <c r="E190" s="55" t="s">
        <v>11</v>
      </c>
      <c r="F190" s="55" t="s">
        <v>268</v>
      </c>
      <c r="G190" s="2" t="s">
        <v>13</v>
      </c>
      <c r="H190" s="2">
        <f t="shared" si="2"/>
        <v>1</v>
      </c>
    </row>
    <row r="191" spans="1:8" x14ac:dyDescent="0.45">
      <c r="A191" s="55" t="s">
        <v>212</v>
      </c>
      <c r="B191" s="55" t="s">
        <v>251</v>
      </c>
      <c r="C191" s="55" t="s">
        <v>265</v>
      </c>
      <c r="D191" s="55" t="s">
        <v>266</v>
      </c>
      <c r="E191" s="55" t="s">
        <v>11</v>
      </c>
      <c r="F191" s="55" t="s">
        <v>269</v>
      </c>
      <c r="G191" s="2" t="s">
        <v>13</v>
      </c>
      <c r="H191" s="2">
        <f t="shared" si="2"/>
        <v>1</v>
      </c>
    </row>
    <row r="192" spans="1:8" x14ac:dyDescent="0.45">
      <c r="A192" s="55" t="s">
        <v>212</v>
      </c>
      <c r="B192" s="55" t="s">
        <v>251</v>
      </c>
      <c r="C192" s="55" t="s">
        <v>265</v>
      </c>
      <c r="D192" s="55" t="s">
        <v>266</v>
      </c>
      <c r="E192" s="55" t="s">
        <v>15</v>
      </c>
      <c r="F192" s="55" t="s">
        <v>270</v>
      </c>
      <c r="G192" s="2" t="s">
        <v>13</v>
      </c>
      <c r="H192" s="2">
        <f t="shared" si="2"/>
        <v>1</v>
      </c>
    </row>
    <row r="193" spans="1:8" x14ac:dyDescent="0.45">
      <c r="A193" s="55" t="s">
        <v>212</v>
      </c>
      <c r="B193" s="55" t="s">
        <v>251</v>
      </c>
      <c r="C193" s="55" t="s">
        <v>265</v>
      </c>
      <c r="D193" s="55" t="s">
        <v>266</v>
      </c>
      <c r="E193" s="55" t="s">
        <v>15</v>
      </c>
      <c r="F193" s="55" t="s">
        <v>271</v>
      </c>
      <c r="G193" s="2" t="s">
        <v>13</v>
      </c>
      <c r="H193" s="2">
        <f t="shared" si="2"/>
        <v>1</v>
      </c>
    </row>
    <row r="194" spans="1:8" x14ac:dyDescent="0.45">
      <c r="A194" s="55" t="s">
        <v>212</v>
      </c>
      <c r="B194" s="55" t="s">
        <v>251</v>
      </c>
      <c r="C194" s="55" t="s">
        <v>265</v>
      </c>
      <c r="D194" s="55" t="s">
        <v>266</v>
      </c>
      <c r="E194" s="55" t="s">
        <v>15</v>
      </c>
      <c r="F194" s="55" t="s">
        <v>272</v>
      </c>
      <c r="G194" s="2" t="s">
        <v>13</v>
      </c>
      <c r="H194" s="2">
        <f t="shared" ref="H194:H257" si="3">IF(G194="Y",1,IF(G194="N",0,""))</f>
        <v>1</v>
      </c>
    </row>
    <row r="195" spans="1:8" x14ac:dyDescent="0.45">
      <c r="A195" s="55" t="s">
        <v>212</v>
      </c>
      <c r="B195" s="55" t="s">
        <v>251</v>
      </c>
      <c r="C195" s="55" t="s">
        <v>265</v>
      </c>
      <c r="D195" s="55" t="s">
        <v>266</v>
      </c>
      <c r="E195" s="55" t="s">
        <v>19</v>
      </c>
      <c r="F195" s="55" t="s">
        <v>273</v>
      </c>
      <c r="G195" s="2" t="s">
        <v>13</v>
      </c>
      <c r="H195" s="2">
        <f t="shared" si="3"/>
        <v>1</v>
      </c>
    </row>
    <row r="196" spans="1:8" x14ac:dyDescent="0.45">
      <c r="A196" s="55" t="s">
        <v>212</v>
      </c>
      <c r="B196" s="55" t="s">
        <v>251</v>
      </c>
      <c r="C196" s="55" t="s">
        <v>265</v>
      </c>
      <c r="D196" s="55" t="s">
        <v>266</v>
      </c>
      <c r="E196" s="55" t="s">
        <v>19</v>
      </c>
      <c r="F196" s="55" t="s">
        <v>274</v>
      </c>
      <c r="G196" s="2" t="s">
        <v>13</v>
      </c>
      <c r="H196" s="2">
        <f t="shared" si="3"/>
        <v>1</v>
      </c>
    </row>
    <row r="197" spans="1:8" x14ac:dyDescent="0.45">
      <c r="A197" s="55" t="s">
        <v>212</v>
      </c>
      <c r="B197" s="55" t="s">
        <v>251</v>
      </c>
      <c r="C197" s="55" t="s">
        <v>265</v>
      </c>
      <c r="D197" s="55" t="s">
        <v>266</v>
      </c>
      <c r="E197" s="55" t="s">
        <v>19</v>
      </c>
      <c r="F197" s="55" t="s">
        <v>275</v>
      </c>
      <c r="G197" s="2" t="s">
        <v>13</v>
      </c>
      <c r="H197" s="2">
        <f t="shared" si="3"/>
        <v>1</v>
      </c>
    </row>
    <row r="198" spans="1:8" x14ac:dyDescent="0.45">
      <c r="A198" s="55" t="s">
        <v>212</v>
      </c>
      <c r="B198" s="55" t="s">
        <v>251</v>
      </c>
      <c r="C198" s="55" t="s">
        <v>265</v>
      </c>
      <c r="D198" s="55" t="s">
        <v>266</v>
      </c>
      <c r="E198" s="55" t="s">
        <v>19</v>
      </c>
      <c r="F198" s="55" t="s">
        <v>276</v>
      </c>
      <c r="G198" s="2" t="s">
        <v>13</v>
      </c>
      <c r="H198" s="2">
        <f t="shared" si="3"/>
        <v>1</v>
      </c>
    </row>
    <row r="199" spans="1:8" x14ac:dyDescent="0.45">
      <c r="A199" s="55" t="s">
        <v>212</v>
      </c>
      <c r="B199" s="55" t="s">
        <v>277</v>
      </c>
      <c r="C199" s="55" t="s">
        <v>278</v>
      </c>
      <c r="D199" s="55" t="s">
        <v>279</v>
      </c>
      <c r="E199" s="55" t="s">
        <v>11</v>
      </c>
      <c r="F199" s="55" t="s">
        <v>280</v>
      </c>
      <c r="G199" s="2" t="s">
        <v>13</v>
      </c>
      <c r="H199" s="2">
        <f t="shared" si="3"/>
        <v>1</v>
      </c>
    </row>
    <row r="200" spans="1:8" x14ac:dyDescent="0.45">
      <c r="A200" s="55" t="s">
        <v>212</v>
      </c>
      <c r="B200" s="55" t="s">
        <v>277</v>
      </c>
      <c r="C200" s="55" t="s">
        <v>278</v>
      </c>
      <c r="D200" s="55" t="s">
        <v>279</v>
      </c>
      <c r="E200" s="55" t="s">
        <v>11</v>
      </c>
      <c r="F200" s="55" t="s">
        <v>281</v>
      </c>
      <c r="G200" s="2" t="s">
        <v>13</v>
      </c>
      <c r="H200" s="2">
        <f t="shared" si="3"/>
        <v>1</v>
      </c>
    </row>
    <row r="201" spans="1:8" x14ac:dyDescent="0.45">
      <c r="A201" s="55" t="s">
        <v>212</v>
      </c>
      <c r="B201" s="55" t="s">
        <v>277</v>
      </c>
      <c r="C201" s="55" t="s">
        <v>278</v>
      </c>
      <c r="D201" s="55" t="s">
        <v>279</v>
      </c>
      <c r="E201" s="55" t="s">
        <v>11</v>
      </c>
      <c r="F201" s="55" t="s">
        <v>282</v>
      </c>
      <c r="G201" s="2" t="s">
        <v>13</v>
      </c>
      <c r="H201" s="2">
        <f t="shared" si="3"/>
        <v>1</v>
      </c>
    </row>
    <row r="202" spans="1:8" x14ac:dyDescent="0.45">
      <c r="A202" s="55" t="s">
        <v>212</v>
      </c>
      <c r="B202" s="55" t="s">
        <v>277</v>
      </c>
      <c r="C202" s="55" t="s">
        <v>278</v>
      </c>
      <c r="D202" s="55" t="s">
        <v>279</v>
      </c>
      <c r="E202" s="55" t="s">
        <v>11</v>
      </c>
      <c r="F202" s="55" t="s">
        <v>283</v>
      </c>
      <c r="G202" s="2" t="s">
        <v>13</v>
      </c>
      <c r="H202" s="2">
        <f t="shared" si="3"/>
        <v>1</v>
      </c>
    </row>
    <row r="203" spans="1:8" x14ac:dyDescent="0.45">
      <c r="A203" s="55" t="s">
        <v>212</v>
      </c>
      <c r="B203" s="55" t="s">
        <v>277</v>
      </c>
      <c r="C203" s="55" t="s">
        <v>278</v>
      </c>
      <c r="D203" s="55" t="s">
        <v>279</v>
      </c>
      <c r="E203" s="55" t="s">
        <v>11</v>
      </c>
      <c r="F203" s="55" t="s">
        <v>284</v>
      </c>
      <c r="G203" s="2" t="s">
        <v>13</v>
      </c>
      <c r="H203" s="2">
        <f t="shared" si="3"/>
        <v>1</v>
      </c>
    </row>
    <row r="204" spans="1:8" x14ac:dyDescent="0.45">
      <c r="A204" s="55" t="s">
        <v>212</v>
      </c>
      <c r="B204" s="55" t="s">
        <v>277</v>
      </c>
      <c r="C204" s="55" t="s">
        <v>278</v>
      </c>
      <c r="D204" s="55" t="s">
        <v>279</v>
      </c>
      <c r="E204" s="55" t="s">
        <v>15</v>
      </c>
      <c r="F204" s="55" t="s">
        <v>285</v>
      </c>
      <c r="G204" s="2" t="s">
        <v>13</v>
      </c>
      <c r="H204" s="2">
        <f t="shared" si="3"/>
        <v>1</v>
      </c>
    </row>
    <row r="205" spans="1:8" x14ac:dyDescent="0.45">
      <c r="A205" s="55" t="s">
        <v>212</v>
      </c>
      <c r="B205" s="55" t="s">
        <v>277</v>
      </c>
      <c r="C205" s="55" t="s">
        <v>278</v>
      </c>
      <c r="D205" s="55" t="s">
        <v>279</v>
      </c>
      <c r="E205" s="55" t="s">
        <v>15</v>
      </c>
      <c r="F205" s="55" t="s">
        <v>286</v>
      </c>
      <c r="G205" s="2" t="s">
        <v>13</v>
      </c>
      <c r="H205" s="2">
        <f t="shared" si="3"/>
        <v>1</v>
      </c>
    </row>
    <row r="206" spans="1:8" x14ac:dyDescent="0.45">
      <c r="A206" s="55" t="s">
        <v>212</v>
      </c>
      <c r="B206" s="55" t="s">
        <v>277</v>
      </c>
      <c r="C206" s="55" t="s">
        <v>278</v>
      </c>
      <c r="D206" s="55" t="s">
        <v>279</v>
      </c>
      <c r="E206" s="55" t="s">
        <v>15</v>
      </c>
      <c r="F206" s="55" t="s">
        <v>287</v>
      </c>
      <c r="G206" s="2" t="s">
        <v>13</v>
      </c>
      <c r="H206" s="2">
        <f t="shared" si="3"/>
        <v>1</v>
      </c>
    </row>
    <row r="207" spans="1:8" x14ac:dyDescent="0.45">
      <c r="A207" s="55" t="s">
        <v>212</v>
      </c>
      <c r="B207" s="55" t="s">
        <v>277</v>
      </c>
      <c r="C207" s="55" t="s">
        <v>278</v>
      </c>
      <c r="D207" s="55" t="s">
        <v>279</v>
      </c>
      <c r="E207" s="55" t="s">
        <v>19</v>
      </c>
      <c r="F207" s="55" t="s">
        <v>288</v>
      </c>
      <c r="G207" s="2" t="s">
        <v>13</v>
      </c>
      <c r="H207" s="2">
        <f t="shared" si="3"/>
        <v>1</v>
      </c>
    </row>
    <row r="208" spans="1:8" x14ac:dyDescent="0.45">
      <c r="A208" s="55" t="s">
        <v>212</v>
      </c>
      <c r="B208" s="55" t="s">
        <v>277</v>
      </c>
      <c r="C208" s="55" t="s">
        <v>278</v>
      </c>
      <c r="D208" s="55" t="s">
        <v>279</v>
      </c>
      <c r="E208" s="55" t="s">
        <v>19</v>
      </c>
      <c r="F208" s="55" t="s">
        <v>289</v>
      </c>
      <c r="G208" s="2" t="s">
        <v>13</v>
      </c>
      <c r="H208" s="2">
        <f t="shared" si="3"/>
        <v>1</v>
      </c>
    </row>
    <row r="209" spans="1:8" x14ac:dyDescent="0.45">
      <c r="A209" s="55" t="s">
        <v>212</v>
      </c>
      <c r="B209" s="55" t="s">
        <v>277</v>
      </c>
      <c r="C209" s="55" t="s">
        <v>278</v>
      </c>
      <c r="D209" s="55" t="s">
        <v>279</v>
      </c>
      <c r="E209" s="55" t="s">
        <v>19</v>
      </c>
      <c r="F209" s="55" t="s">
        <v>290</v>
      </c>
      <c r="G209" s="2" t="s">
        <v>13</v>
      </c>
      <c r="H209" s="2">
        <f t="shared" si="3"/>
        <v>1</v>
      </c>
    </row>
    <row r="210" spans="1:8" x14ac:dyDescent="0.45">
      <c r="A210" s="55" t="s">
        <v>212</v>
      </c>
      <c r="B210" s="55" t="s">
        <v>277</v>
      </c>
      <c r="C210" s="55" t="s">
        <v>291</v>
      </c>
      <c r="D210" s="55" t="s">
        <v>292</v>
      </c>
      <c r="E210" s="55" t="s">
        <v>11</v>
      </c>
      <c r="F210" s="55" t="s">
        <v>293</v>
      </c>
      <c r="G210" s="2" t="s">
        <v>13</v>
      </c>
      <c r="H210" s="2">
        <f t="shared" si="3"/>
        <v>1</v>
      </c>
    </row>
    <row r="211" spans="1:8" x14ac:dyDescent="0.45">
      <c r="A211" s="55" t="s">
        <v>212</v>
      </c>
      <c r="B211" s="55" t="s">
        <v>277</v>
      </c>
      <c r="C211" s="55" t="s">
        <v>291</v>
      </c>
      <c r="D211" s="55" t="s">
        <v>292</v>
      </c>
      <c r="E211" s="55" t="s">
        <v>11</v>
      </c>
      <c r="F211" s="55" t="s">
        <v>294</v>
      </c>
      <c r="G211" s="2" t="s">
        <v>13</v>
      </c>
      <c r="H211" s="2">
        <f t="shared" si="3"/>
        <v>1</v>
      </c>
    </row>
    <row r="212" spans="1:8" x14ac:dyDescent="0.45">
      <c r="A212" s="55" t="s">
        <v>212</v>
      </c>
      <c r="B212" s="55" t="s">
        <v>277</v>
      </c>
      <c r="C212" s="55" t="s">
        <v>291</v>
      </c>
      <c r="D212" s="55" t="s">
        <v>292</v>
      </c>
      <c r="E212" s="55" t="s">
        <v>15</v>
      </c>
      <c r="F212" s="55" t="s">
        <v>295</v>
      </c>
      <c r="G212" s="2" t="s">
        <v>13</v>
      </c>
      <c r="H212" s="2">
        <f t="shared" si="3"/>
        <v>1</v>
      </c>
    </row>
    <row r="213" spans="1:8" x14ac:dyDescent="0.45">
      <c r="A213" s="55" t="s">
        <v>212</v>
      </c>
      <c r="B213" s="55" t="s">
        <v>277</v>
      </c>
      <c r="C213" s="55" t="s">
        <v>291</v>
      </c>
      <c r="D213" s="55" t="s">
        <v>292</v>
      </c>
      <c r="E213" s="55" t="s">
        <v>15</v>
      </c>
      <c r="F213" s="55" t="s">
        <v>296</v>
      </c>
      <c r="G213" s="2" t="s">
        <v>13</v>
      </c>
      <c r="H213" s="2">
        <f t="shared" si="3"/>
        <v>1</v>
      </c>
    </row>
    <row r="214" spans="1:8" x14ac:dyDescent="0.45">
      <c r="A214" s="55" t="s">
        <v>212</v>
      </c>
      <c r="B214" s="55" t="s">
        <v>277</v>
      </c>
      <c r="C214" s="55" t="s">
        <v>291</v>
      </c>
      <c r="D214" s="55" t="s">
        <v>292</v>
      </c>
      <c r="E214" s="55" t="s">
        <v>15</v>
      </c>
      <c r="F214" s="55" t="s">
        <v>297</v>
      </c>
      <c r="G214" s="2" t="s">
        <v>13</v>
      </c>
      <c r="H214" s="2">
        <f t="shared" si="3"/>
        <v>1</v>
      </c>
    </row>
    <row r="215" spans="1:8" x14ac:dyDescent="0.45">
      <c r="A215" s="55" t="s">
        <v>212</v>
      </c>
      <c r="B215" s="55" t="s">
        <v>277</v>
      </c>
      <c r="C215" s="55" t="s">
        <v>291</v>
      </c>
      <c r="D215" s="55" t="s">
        <v>292</v>
      </c>
      <c r="E215" s="55" t="s">
        <v>19</v>
      </c>
      <c r="F215" s="55" t="s">
        <v>298</v>
      </c>
      <c r="G215" s="2" t="s">
        <v>13</v>
      </c>
      <c r="H215" s="2">
        <f t="shared" si="3"/>
        <v>1</v>
      </c>
    </row>
    <row r="216" spans="1:8" x14ac:dyDescent="0.45">
      <c r="A216" s="55" t="s">
        <v>212</v>
      </c>
      <c r="B216" s="55" t="s">
        <v>277</v>
      </c>
      <c r="C216" s="55" t="s">
        <v>291</v>
      </c>
      <c r="D216" s="55" t="s">
        <v>292</v>
      </c>
      <c r="E216" s="55" t="s">
        <v>19</v>
      </c>
      <c r="F216" s="55" t="s">
        <v>299</v>
      </c>
      <c r="G216" s="2" t="s">
        <v>13</v>
      </c>
      <c r="H216" s="2">
        <f t="shared" si="3"/>
        <v>1</v>
      </c>
    </row>
    <row r="217" spans="1:8" x14ac:dyDescent="0.45">
      <c r="A217" s="55" t="s">
        <v>212</v>
      </c>
      <c r="B217" s="55" t="s">
        <v>277</v>
      </c>
      <c r="C217" s="55" t="s">
        <v>291</v>
      </c>
      <c r="D217" s="55" t="s">
        <v>292</v>
      </c>
      <c r="E217" s="55" t="s">
        <v>19</v>
      </c>
      <c r="F217" s="55" t="s">
        <v>300</v>
      </c>
      <c r="G217" s="2" t="s">
        <v>13</v>
      </c>
      <c r="H217" s="2">
        <f t="shared" si="3"/>
        <v>1</v>
      </c>
    </row>
    <row r="218" spans="1:8" x14ac:dyDescent="0.45">
      <c r="A218" s="55" t="s">
        <v>212</v>
      </c>
      <c r="B218" s="55" t="s">
        <v>277</v>
      </c>
      <c r="C218" s="55" t="s">
        <v>291</v>
      </c>
      <c r="D218" s="55" t="s">
        <v>292</v>
      </c>
      <c r="E218" s="55" t="s">
        <v>19</v>
      </c>
      <c r="F218" s="55" t="s">
        <v>301</v>
      </c>
      <c r="G218" s="2" t="s">
        <v>13</v>
      </c>
      <c r="H218" s="2">
        <f t="shared" si="3"/>
        <v>1</v>
      </c>
    </row>
    <row r="219" spans="1:8" x14ac:dyDescent="0.45">
      <c r="A219" s="55" t="s">
        <v>302</v>
      </c>
      <c r="B219" s="55" t="s">
        <v>303</v>
      </c>
      <c r="C219" s="55" t="s">
        <v>304</v>
      </c>
      <c r="D219" s="55" t="s">
        <v>305</v>
      </c>
      <c r="E219" s="55" t="s">
        <v>11</v>
      </c>
      <c r="F219" s="55" t="s">
        <v>306</v>
      </c>
      <c r="G219" s="2" t="s">
        <v>13</v>
      </c>
      <c r="H219" s="2">
        <f t="shared" si="3"/>
        <v>1</v>
      </c>
    </row>
    <row r="220" spans="1:8" x14ac:dyDescent="0.45">
      <c r="A220" s="55" t="s">
        <v>302</v>
      </c>
      <c r="B220" s="55" t="s">
        <v>303</v>
      </c>
      <c r="C220" s="55" t="s">
        <v>304</v>
      </c>
      <c r="D220" s="55" t="s">
        <v>305</v>
      </c>
      <c r="E220" s="55" t="s">
        <v>11</v>
      </c>
      <c r="F220" s="55" t="s">
        <v>307</v>
      </c>
      <c r="G220" s="2" t="s">
        <v>13</v>
      </c>
      <c r="H220" s="2">
        <f t="shared" si="3"/>
        <v>1</v>
      </c>
    </row>
    <row r="221" spans="1:8" x14ac:dyDescent="0.45">
      <c r="A221" s="55" t="s">
        <v>302</v>
      </c>
      <c r="B221" s="55" t="s">
        <v>303</v>
      </c>
      <c r="C221" s="55" t="s">
        <v>304</v>
      </c>
      <c r="D221" s="55" t="s">
        <v>305</v>
      </c>
      <c r="E221" s="55" t="s">
        <v>11</v>
      </c>
      <c r="F221" s="55" t="s">
        <v>308</v>
      </c>
      <c r="G221" s="2" t="s">
        <v>13</v>
      </c>
      <c r="H221" s="2">
        <f t="shared" si="3"/>
        <v>1</v>
      </c>
    </row>
    <row r="222" spans="1:8" x14ac:dyDescent="0.45">
      <c r="A222" s="55" t="s">
        <v>302</v>
      </c>
      <c r="B222" s="55" t="s">
        <v>303</v>
      </c>
      <c r="C222" s="55" t="s">
        <v>304</v>
      </c>
      <c r="D222" s="55" t="s">
        <v>305</v>
      </c>
      <c r="E222" s="55" t="s">
        <v>15</v>
      </c>
      <c r="F222" s="55" t="s">
        <v>309</v>
      </c>
      <c r="G222" s="2" t="s">
        <v>13</v>
      </c>
      <c r="H222" s="2">
        <f t="shared" si="3"/>
        <v>1</v>
      </c>
    </row>
    <row r="223" spans="1:8" x14ac:dyDescent="0.45">
      <c r="A223" s="55" t="s">
        <v>302</v>
      </c>
      <c r="B223" s="55" t="s">
        <v>303</v>
      </c>
      <c r="C223" s="55" t="s">
        <v>304</v>
      </c>
      <c r="D223" s="55" t="s">
        <v>305</v>
      </c>
      <c r="E223" s="55" t="s">
        <v>15</v>
      </c>
      <c r="F223" s="55" t="s">
        <v>310</v>
      </c>
      <c r="G223" s="2" t="s">
        <v>13</v>
      </c>
      <c r="H223" s="2">
        <f t="shared" si="3"/>
        <v>1</v>
      </c>
    </row>
    <row r="224" spans="1:8" x14ac:dyDescent="0.45">
      <c r="A224" s="55" t="s">
        <v>302</v>
      </c>
      <c r="B224" s="55" t="s">
        <v>303</v>
      </c>
      <c r="C224" s="55" t="s">
        <v>304</v>
      </c>
      <c r="D224" s="55" t="s">
        <v>305</v>
      </c>
      <c r="E224" s="55" t="s">
        <v>15</v>
      </c>
      <c r="F224" s="55" t="s">
        <v>311</v>
      </c>
      <c r="G224" s="2" t="s">
        <v>13</v>
      </c>
      <c r="H224" s="2">
        <f t="shared" si="3"/>
        <v>1</v>
      </c>
    </row>
    <row r="225" spans="1:8" x14ac:dyDescent="0.45">
      <c r="A225" s="55" t="s">
        <v>302</v>
      </c>
      <c r="B225" s="55" t="s">
        <v>303</v>
      </c>
      <c r="C225" s="55" t="s">
        <v>304</v>
      </c>
      <c r="D225" s="55" t="s">
        <v>305</v>
      </c>
      <c r="E225" s="55" t="s">
        <v>15</v>
      </c>
      <c r="F225" s="55" t="s">
        <v>312</v>
      </c>
      <c r="G225" s="2" t="s">
        <v>13</v>
      </c>
      <c r="H225" s="2">
        <f t="shared" si="3"/>
        <v>1</v>
      </c>
    </row>
    <row r="226" spans="1:8" x14ac:dyDescent="0.45">
      <c r="A226" s="55" t="s">
        <v>302</v>
      </c>
      <c r="B226" s="55" t="s">
        <v>303</v>
      </c>
      <c r="C226" s="55" t="s">
        <v>304</v>
      </c>
      <c r="D226" s="55" t="s">
        <v>305</v>
      </c>
      <c r="E226" s="55" t="s">
        <v>19</v>
      </c>
      <c r="F226" s="55" t="s">
        <v>313</v>
      </c>
      <c r="G226" s="2" t="s">
        <v>13</v>
      </c>
      <c r="H226" s="2">
        <f t="shared" si="3"/>
        <v>1</v>
      </c>
    </row>
    <row r="227" spans="1:8" x14ac:dyDescent="0.45">
      <c r="A227" s="55" t="s">
        <v>302</v>
      </c>
      <c r="B227" s="55" t="s">
        <v>303</v>
      </c>
      <c r="C227" s="55" t="s">
        <v>304</v>
      </c>
      <c r="D227" s="55" t="s">
        <v>305</v>
      </c>
      <c r="E227" s="55" t="s">
        <v>19</v>
      </c>
      <c r="F227" s="55" t="s">
        <v>314</v>
      </c>
      <c r="G227" s="2" t="s">
        <v>13</v>
      </c>
      <c r="H227" s="2">
        <f t="shared" si="3"/>
        <v>1</v>
      </c>
    </row>
    <row r="228" spans="1:8" x14ac:dyDescent="0.45">
      <c r="A228" s="55" t="s">
        <v>302</v>
      </c>
      <c r="B228" s="55" t="s">
        <v>303</v>
      </c>
      <c r="C228" s="55" t="s">
        <v>315</v>
      </c>
      <c r="D228" s="55" t="s">
        <v>316</v>
      </c>
      <c r="E228" s="55" t="s">
        <v>11</v>
      </c>
      <c r="F228" s="55" t="s">
        <v>317</v>
      </c>
      <c r="G228" s="2" t="s">
        <v>13</v>
      </c>
      <c r="H228" s="2">
        <f t="shared" si="3"/>
        <v>1</v>
      </c>
    </row>
    <row r="229" spans="1:8" x14ac:dyDescent="0.45">
      <c r="A229" s="55" t="s">
        <v>302</v>
      </c>
      <c r="B229" s="55" t="s">
        <v>303</v>
      </c>
      <c r="C229" s="55" t="s">
        <v>315</v>
      </c>
      <c r="D229" s="55" t="s">
        <v>316</v>
      </c>
      <c r="E229" s="55" t="s">
        <v>11</v>
      </c>
      <c r="F229" s="55" t="s">
        <v>318</v>
      </c>
      <c r="G229" s="2" t="s">
        <v>13</v>
      </c>
      <c r="H229" s="2">
        <f t="shared" si="3"/>
        <v>1</v>
      </c>
    </row>
    <row r="230" spans="1:8" x14ac:dyDescent="0.45">
      <c r="A230" s="55" t="s">
        <v>302</v>
      </c>
      <c r="B230" s="55" t="s">
        <v>303</v>
      </c>
      <c r="C230" s="55" t="s">
        <v>315</v>
      </c>
      <c r="D230" s="55" t="s">
        <v>316</v>
      </c>
      <c r="E230" s="55" t="s">
        <v>11</v>
      </c>
      <c r="F230" s="55" t="s">
        <v>319</v>
      </c>
      <c r="G230" s="2" t="s">
        <v>13</v>
      </c>
      <c r="H230" s="2">
        <f t="shared" si="3"/>
        <v>1</v>
      </c>
    </row>
    <row r="231" spans="1:8" x14ac:dyDescent="0.45">
      <c r="A231" s="55" t="s">
        <v>302</v>
      </c>
      <c r="B231" s="55" t="s">
        <v>303</v>
      </c>
      <c r="C231" s="55" t="s">
        <v>315</v>
      </c>
      <c r="D231" s="55" t="s">
        <v>316</v>
      </c>
      <c r="E231" s="55" t="s">
        <v>15</v>
      </c>
      <c r="F231" s="55" t="s">
        <v>320</v>
      </c>
      <c r="G231" s="2" t="s">
        <v>13</v>
      </c>
      <c r="H231" s="2">
        <f t="shared" si="3"/>
        <v>1</v>
      </c>
    </row>
    <row r="232" spans="1:8" x14ac:dyDescent="0.45">
      <c r="A232" s="55" t="s">
        <v>302</v>
      </c>
      <c r="B232" s="55" t="s">
        <v>303</v>
      </c>
      <c r="C232" s="55" t="s">
        <v>315</v>
      </c>
      <c r="D232" s="55" t="s">
        <v>316</v>
      </c>
      <c r="E232" s="55" t="s">
        <v>15</v>
      </c>
      <c r="F232" s="55" t="s">
        <v>321</v>
      </c>
      <c r="G232" s="2" t="s">
        <v>13</v>
      </c>
      <c r="H232" s="2">
        <f t="shared" si="3"/>
        <v>1</v>
      </c>
    </row>
    <row r="233" spans="1:8" x14ac:dyDescent="0.45">
      <c r="A233" s="55" t="s">
        <v>302</v>
      </c>
      <c r="B233" s="55" t="s">
        <v>303</v>
      </c>
      <c r="C233" s="55" t="s">
        <v>315</v>
      </c>
      <c r="D233" s="55" t="s">
        <v>316</v>
      </c>
      <c r="E233" s="55" t="s">
        <v>15</v>
      </c>
      <c r="F233" s="55" t="s">
        <v>322</v>
      </c>
      <c r="G233" s="2" t="s">
        <v>13</v>
      </c>
      <c r="H233" s="2">
        <f t="shared" si="3"/>
        <v>1</v>
      </c>
    </row>
    <row r="234" spans="1:8" x14ac:dyDescent="0.45">
      <c r="A234" s="55" t="s">
        <v>302</v>
      </c>
      <c r="B234" s="55" t="s">
        <v>303</v>
      </c>
      <c r="C234" s="55" t="s">
        <v>315</v>
      </c>
      <c r="D234" s="55" t="s">
        <v>316</v>
      </c>
      <c r="E234" s="55" t="s">
        <v>19</v>
      </c>
      <c r="F234" s="55" t="s">
        <v>323</v>
      </c>
      <c r="G234" s="2" t="s">
        <v>13</v>
      </c>
      <c r="H234" s="2">
        <f t="shared" si="3"/>
        <v>1</v>
      </c>
    </row>
    <row r="235" spans="1:8" x14ac:dyDescent="0.45">
      <c r="A235" s="55" t="s">
        <v>302</v>
      </c>
      <c r="B235" s="55" t="s">
        <v>303</v>
      </c>
      <c r="C235" s="55" t="s">
        <v>315</v>
      </c>
      <c r="D235" s="55" t="s">
        <v>316</v>
      </c>
      <c r="E235" s="55" t="s">
        <v>19</v>
      </c>
      <c r="F235" s="55" t="s">
        <v>324</v>
      </c>
      <c r="G235" s="2" t="s">
        <v>13</v>
      </c>
      <c r="H235" s="2">
        <f t="shared" si="3"/>
        <v>1</v>
      </c>
    </row>
    <row r="236" spans="1:8" x14ac:dyDescent="0.45">
      <c r="A236" s="55" t="s">
        <v>302</v>
      </c>
      <c r="B236" s="55" t="s">
        <v>303</v>
      </c>
      <c r="C236" s="55" t="s">
        <v>315</v>
      </c>
      <c r="D236" s="55" t="s">
        <v>316</v>
      </c>
      <c r="E236" s="55" t="s">
        <v>19</v>
      </c>
      <c r="F236" s="55" t="s">
        <v>325</v>
      </c>
      <c r="G236" s="2" t="s">
        <v>13</v>
      </c>
      <c r="H236" s="2">
        <f t="shared" si="3"/>
        <v>1</v>
      </c>
    </row>
    <row r="237" spans="1:8" x14ac:dyDescent="0.45">
      <c r="A237" s="55" t="s">
        <v>302</v>
      </c>
      <c r="B237" s="55" t="s">
        <v>326</v>
      </c>
      <c r="C237" s="55" t="s">
        <v>99</v>
      </c>
      <c r="D237" s="55" t="s">
        <v>327</v>
      </c>
      <c r="E237" s="55" t="s">
        <v>11</v>
      </c>
      <c r="F237" s="55" t="s">
        <v>328</v>
      </c>
      <c r="G237" s="2" t="s">
        <v>13</v>
      </c>
      <c r="H237" s="2">
        <f t="shared" si="3"/>
        <v>1</v>
      </c>
    </row>
    <row r="238" spans="1:8" x14ac:dyDescent="0.45">
      <c r="A238" s="55" t="s">
        <v>302</v>
      </c>
      <c r="B238" s="55" t="s">
        <v>326</v>
      </c>
      <c r="C238" s="55" t="s">
        <v>99</v>
      </c>
      <c r="D238" s="55" t="s">
        <v>327</v>
      </c>
      <c r="E238" s="55" t="s">
        <v>11</v>
      </c>
      <c r="F238" s="55" t="s">
        <v>329</v>
      </c>
      <c r="G238" s="2" t="s">
        <v>13</v>
      </c>
      <c r="H238" s="2">
        <f t="shared" si="3"/>
        <v>1</v>
      </c>
    </row>
    <row r="239" spans="1:8" x14ac:dyDescent="0.45">
      <c r="A239" s="55" t="s">
        <v>302</v>
      </c>
      <c r="B239" s="55" t="s">
        <v>326</v>
      </c>
      <c r="C239" s="55" t="s">
        <v>99</v>
      </c>
      <c r="D239" s="55" t="s">
        <v>327</v>
      </c>
      <c r="E239" s="55" t="s">
        <v>15</v>
      </c>
      <c r="F239" s="55" t="s">
        <v>330</v>
      </c>
      <c r="G239" s="2" t="s">
        <v>13</v>
      </c>
      <c r="H239" s="2">
        <f t="shared" si="3"/>
        <v>1</v>
      </c>
    </row>
    <row r="240" spans="1:8" x14ac:dyDescent="0.45">
      <c r="A240" s="55" t="s">
        <v>302</v>
      </c>
      <c r="B240" s="55" t="s">
        <v>326</v>
      </c>
      <c r="C240" s="55" t="s">
        <v>99</v>
      </c>
      <c r="D240" s="55" t="s">
        <v>327</v>
      </c>
      <c r="E240" s="55" t="s">
        <v>15</v>
      </c>
      <c r="F240" s="55" t="s">
        <v>331</v>
      </c>
      <c r="G240" s="2" t="s">
        <v>13</v>
      </c>
      <c r="H240" s="2">
        <f t="shared" si="3"/>
        <v>1</v>
      </c>
    </row>
    <row r="241" spans="1:8" x14ac:dyDescent="0.45">
      <c r="A241" s="55" t="s">
        <v>302</v>
      </c>
      <c r="B241" s="55" t="s">
        <v>326</v>
      </c>
      <c r="C241" s="55" t="s">
        <v>99</v>
      </c>
      <c r="D241" s="55" t="s">
        <v>327</v>
      </c>
      <c r="E241" s="55" t="s">
        <v>19</v>
      </c>
      <c r="F241" s="55" t="s">
        <v>332</v>
      </c>
      <c r="G241" s="2" t="s">
        <v>13</v>
      </c>
      <c r="H241" s="2">
        <f t="shared" si="3"/>
        <v>1</v>
      </c>
    </row>
    <row r="242" spans="1:8" x14ac:dyDescent="0.45">
      <c r="A242" s="55" t="s">
        <v>302</v>
      </c>
      <c r="B242" s="55" t="s">
        <v>326</v>
      </c>
      <c r="C242" s="55" t="s">
        <v>99</v>
      </c>
      <c r="D242" s="55" t="s">
        <v>327</v>
      </c>
      <c r="E242" s="55" t="s">
        <v>19</v>
      </c>
      <c r="F242" s="55" t="s">
        <v>333</v>
      </c>
      <c r="G242" s="2" t="s">
        <v>13</v>
      </c>
      <c r="H242" s="2">
        <f t="shared" si="3"/>
        <v>1</v>
      </c>
    </row>
    <row r="243" spans="1:8" x14ac:dyDescent="0.45">
      <c r="A243" s="55" t="s">
        <v>302</v>
      </c>
      <c r="B243" s="55" t="s">
        <v>334</v>
      </c>
      <c r="C243" s="55" t="s">
        <v>335</v>
      </c>
      <c r="D243" s="55" t="s">
        <v>336</v>
      </c>
      <c r="E243" s="55" t="s">
        <v>11</v>
      </c>
      <c r="F243" s="55" t="s">
        <v>337</v>
      </c>
      <c r="G243" s="2" t="s">
        <v>13</v>
      </c>
      <c r="H243" s="2">
        <f t="shared" si="3"/>
        <v>1</v>
      </c>
    </row>
    <row r="244" spans="1:8" x14ac:dyDescent="0.45">
      <c r="A244" s="55" t="s">
        <v>302</v>
      </c>
      <c r="B244" s="55" t="s">
        <v>334</v>
      </c>
      <c r="C244" s="55" t="s">
        <v>335</v>
      </c>
      <c r="D244" s="55" t="s">
        <v>336</v>
      </c>
      <c r="E244" s="55" t="s">
        <v>11</v>
      </c>
      <c r="F244" s="55" t="s">
        <v>338</v>
      </c>
      <c r="G244" s="2" t="s">
        <v>13</v>
      </c>
      <c r="H244" s="2">
        <f t="shared" si="3"/>
        <v>1</v>
      </c>
    </row>
    <row r="245" spans="1:8" x14ac:dyDescent="0.45">
      <c r="A245" s="55" t="s">
        <v>302</v>
      </c>
      <c r="B245" s="55" t="s">
        <v>334</v>
      </c>
      <c r="C245" s="55" t="s">
        <v>335</v>
      </c>
      <c r="D245" s="55" t="s">
        <v>336</v>
      </c>
      <c r="E245" s="55" t="s">
        <v>11</v>
      </c>
      <c r="F245" s="55" t="s">
        <v>339</v>
      </c>
      <c r="G245" s="2" t="s">
        <v>13</v>
      </c>
      <c r="H245" s="2">
        <f t="shared" si="3"/>
        <v>1</v>
      </c>
    </row>
    <row r="246" spans="1:8" x14ac:dyDescent="0.45">
      <c r="A246" s="55" t="s">
        <v>302</v>
      </c>
      <c r="B246" s="55" t="s">
        <v>334</v>
      </c>
      <c r="C246" s="55" t="s">
        <v>335</v>
      </c>
      <c r="D246" s="55" t="s">
        <v>336</v>
      </c>
      <c r="E246" s="55" t="s">
        <v>15</v>
      </c>
      <c r="F246" s="55" t="s">
        <v>340</v>
      </c>
      <c r="G246" s="2" t="s">
        <v>13</v>
      </c>
      <c r="H246" s="2">
        <f t="shared" si="3"/>
        <v>1</v>
      </c>
    </row>
    <row r="247" spans="1:8" x14ac:dyDescent="0.45">
      <c r="A247" s="55" t="s">
        <v>302</v>
      </c>
      <c r="B247" s="55" t="s">
        <v>334</v>
      </c>
      <c r="C247" s="55" t="s">
        <v>335</v>
      </c>
      <c r="D247" s="55" t="s">
        <v>336</v>
      </c>
      <c r="E247" s="55" t="s">
        <v>15</v>
      </c>
      <c r="F247" s="55" t="s">
        <v>341</v>
      </c>
      <c r="G247" s="2" t="s">
        <v>13</v>
      </c>
      <c r="H247" s="2">
        <f t="shared" si="3"/>
        <v>1</v>
      </c>
    </row>
    <row r="248" spans="1:8" x14ac:dyDescent="0.45">
      <c r="A248" s="55" t="s">
        <v>302</v>
      </c>
      <c r="B248" s="55" t="s">
        <v>334</v>
      </c>
      <c r="C248" s="55" t="s">
        <v>335</v>
      </c>
      <c r="D248" s="55" t="s">
        <v>336</v>
      </c>
      <c r="E248" s="55" t="s">
        <v>15</v>
      </c>
      <c r="F248" s="55" t="s">
        <v>342</v>
      </c>
      <c r="G248" s="2" t="s">
        <v>13</v>
      </c>
      <c r="H248" s="2">
        <f t="shared" si="3"/>
        <v>1</v>
      </c>
    </row>
    <row r="249" spans="1:8" x14ac:dyDescent="0.45">
      <c r="A249" s="55" t="s">
        <v>302</v>
      </c>
      <c r="B249" s="55" t="s">
        <v>334</v>
      </c>
      <c r="C249" s="55" t="s">
        <v>335</v>
      </c>
      <c r="D249" s="55" t="s">
        <v>336</v>
      </c>
      <c r="E249" s="55" t="s">
        <v>19</v>
      </c>
      <c r="F249" s="55" t="s">
        <v>343</v>
      </c>
      <c r="G249" s="2" t="s">
        <v>13</v>
      </c>
      <c r="H249" s="2">
        <f t="shared" si="3"/>
        <v>1</v>
      </c>
    </row>
    <row r="250" spans="1:8" x14ac:dyDescent="0.45">
      <c r="A250" s="55" t="s">
        <v>302</v>
      </c>
      <c r="B250" s="55" t="s">
        <v>334</v>
      </c>
      <c r="C250" s="55" t="s">
        <v>335</v>
      </c>
      <c r="D250" s="55" t="s">
        <v>336</v>
      </c>
      <c r="E250" s="55" t="s">
        <v>19</v>
      </c>
      <c r="F250" s="55" t="s">
        <v>344</v>
      </c>
      <c r="G250" s="2" t="s">
        <v>13</v>
      </c>
      <c r="H250" s="2">
        <f t="shared" si="3"/>
        <v>1</v>
      </c>
    </row>
    <row r="251" spans="1:8" x14ac:dyDescent="0.45">
      <c r="A251" s="55" t="s">
        <v>302</v>
      </c>
      <c r="B251" s="55" t="s">
        <v>345</v>
      </c>
      <c r="C251" s="55" t="s">
        <v>346</v>
      </c>
      <c r="D251" s="55" t="s">
        <v>347</v>
      </c>
      <c r="E251" s="55" t="s">
        <v>11</v>
      </c>
      <c r="F251" s="55" t="s">
        <v>348</v>
      </c>
      <c r="G251" s="2" t="s">
        <v>13</v>
      </c>
      <c r="H251" s="2">
        <f t="shared" si="3"/>
        <v>1</v>
      </c>
    </row>
    <row r="252" spans="1:8" x14ac:dyDescent="0.45">
      <c r="A252" s="55" t="s">
        <v>302</v>
      </c>
      <c r="B252" s="55" t="s">
        <v>345</v>
      </c>
      <c r="C252" s="55" t="s">
        <v>346</v>
      </c>
      <c r="D252" s="55" t="s">
        <v>347</v>
      </c>
      <c r="E252" s="55" t="s">
        <v>11</v>
      </c>
      <c r="F252" s="55" t="s">
        <v>349</v>
      </c>
      <c r="G252" s="2" t="s">
        <v>13</v>
      </c>
      <c r="H252" s="2">
        <f t="shared" si="3"/>
        <v>1</v>
      </c>
    </row>
    <row r="253" spans="1:8" x14ac:dyDescent="0.45">
      <c r="A253" s="55" t="s">
        <v>302</v>
      </c>
      <c r="B253" s="55" t="s">
        <v>345</v>
      </c>
      <c r="C253" s="55" t="s">
        <v>346</v>
      </c>
      <c r="D253" s="55" t="s">
        <v>347</v>
      </c>
      <c r="E253" s="55" t="s">
        <v>15</v>
      </c>
      <c r="F253" s="55" t="s">
        <v>350</v>
      </c>
      <c r="G253" s="2" t="s">
        <v>13</v>
      </c>
      <c r="H253" s="2">
        <f t="shared" si="3"/>
        <v>1</v>
      </c>
    </row>
    <row r="254" spans="1:8" x14ac:dyDescent="0.45">
      <c r="A254" s="55" t="s">
        <v>302</v>
      </c>
      <c r="B254" s="55" t="s">
        <v>345</v>
      </c>
      <c r="C254" s="55" t="s">
        <v>346</v>
      </c>
      <c r="D254" s="55" t="s">
        <v>347</v>
      </c>
      <c r="E254" s="55" t="s">
        <v>15</v>
      </c>
      <c r="F254" s="55" t="s">
        <v>351</v>
      </c>
      <c r="G254" s="2" t="s">
        <v>13</v>
      </c>
      <c r="H254" s="2">
        <f t="shared" si="3"/>
        <v>1</v>
      </c>
    </row>
    <row r="255" spans="1:8" x14ac:dyDescent="0.45">
      <c r="A255" s="55" t="s">
        <v>302</v>
      </c>
      <c r="B255" s="55" t="s">
        <v>345</v>
      </c>
      <c r="C255" s="55" t="s">
        <v>346</v>
      </c>
      <c r="D255" s="55" t="s">
        <v>347</v>
      </c>
      <c r="E255" s="55" t="s">
        <v>15</v>
      </c>
      <c r="F255" s="55" t="s">
        <v>352</v>
      </c>
      <c r="G255" s="2" t="s">
        <v>13</v>
      </c>
      <c r="H255" s="2">
        <f t="shared" si="3"/>
        <v>1</v>
      </c>
    </row>
    <row r="256" spans="1:8" x14ac:dyDescent="0.45">
      <c r="A256" s="55" t="s">
        <v>302</v>
      </c>
      <c r="B256" s="55" t="s">
        <v>345</v>
      </c>
      <c r="C256" s="55" t="s">
        <v>346</v>
      </c>
      <c r="D256" s="55" t="s">
        <v>347</v>
      </c>
      <c r="E256" s="55" t="s">
        <v>19</v>
      </c>
      <c r="F256" s="55" t="s">
        <v>353</v>
      </c>
      <c r="G256" s="2" t="s">
        <v>13</v>
      </c>
      <c r="H256" s="2">
        <f t="shared" si="3"/>
        <v>1</v>
      </c>
    </row>
    <row r="257" spans="1:8" x14ac:dyDescent="0.45">
      <c r="A257" s="55" t="s">
        <v>302</v>
      </c>
      <c r="B257" s="55" t="s">
        <v>345</v>
      </c>
      <c r="C257" s="55" t="s">
        <v>346</v>
      </c>
      <c r="D257" s="55" t="s">
        <v>347</v>
      </c>
      <c r="E257" s="55" t="s">
        <v>19</v>
      </c>
      <c r="F257" s="55" t="s">
        <v>354</v>
      </c>
      <c r="G257" s="2" t="s">
        <v>13</v>
      </c>
      <c r="H257" s="2">
        <f t="shared" si="3"/>
        <v>1</v>
      </c>
    </row>
    <row r="258" spans="1:8" x14ac:dyDescent="0.45">
      <c r="A258" s="55" t="s">
        <v>302</v>
      </c>
      <c r="B258" s="55" t="s">
        <v>345</v>
      </c>
      <c r="C258" s="55" t="s">
        <v>346</v>
      </c>
      <c r="D258" s="55" t="s">
        <v>347</v>
      </c>
      <c r="E258" s="55" t="s">
        <v>19</v>
      </c>
      <c r="F258" s="55" t="s">
        <v>355</v>
      </c>
      <c r="G258" s="2" t="s">
        <v>13</v>
      </c>
      <c r="H258" s="2">
        <f t="shared" ref="H258:H321" si="4">IF(G258="Y",1,IF(G258="N",0,""))</f>
        <v>1</v>
      </c>
    </row>
    <row r="259" spans="1:8" x14ac:dyDescent="0.45">
      <c r="A259" s="55" t="s">
        <v>302</v>
      </c>
      <c r="B259" s="55" t="s">
        <v>345</v>
      </c>
      <c r="C259" s="55" t="s">
        <v>346</v>
      </c>
      <c r="D259" s="55" t="s">
        <v>347</v>
      </c>
      <c r="E259" s="55" t="s">
        <v>19</v>
      </c>
      <c r="F259" s="55" t="s">
        <v>356</v>
      </c>
      <c r="G259" s="2" t="s">
        <v>13</v>
      </c>
      <c r="H259" s="2">
        <f t="shared" si="4"/>
        <v>1</v>
      </c>
    </row>
    <row r="260" spans="1:8" x14ac:dyDescent="0.45">
      <c r="A260" s="55" t="s">
        <v>302</v>
      </c>
      <c r="B260" s="55" t="s">
        <v>357</v>
      </c>
      <c r="C260" s="55" t="s">
        <v>358</v>
      </c>
      <c r="D260" s="55" t="s">
        <v>359</v>
      </c>
      <c r="E260" s="55" t="s">
        <v>11</v>
      </c>
      <c r="F260" s="55" t="s">
        <v>360</v>
      </c>
      <c r="G260" s="2" t="s">
        <v>13</v>
      </c>
      <c r="H260" s="2">
        <f t="shared" si="4"/>
        <v>1</v>
      </c>
    </row>
    <row r="261" spans="1:8" x14ac:dyDescent="0.45">
      <c r="A261" s="55" t="s">
        <v>302</v>
      </c>
      <c r="B261" s="55" t="s">
        <v>357</v>
      </c>
      <c r="C261" s="55" t="s">
        <v>358</v>
      </c>
      <c r="D261" s="55" t="s">
        <v>359</v>
      </c>
      <c r="E261" s="55" t="s">
        <v>11</v>
      </c>
      <c r="F261" s="55" t="s">
        <v>361</v>
      </c>
      <c r="G261" s="2" t="s">
        <v>13</v>
      </c>
      <c r="H261" s="2">
        <f t="shared" si="4"/>
        <v>1</v>
      </c>
    </row>
    <row r="262" spans="1:8" x14ac:dyDescent="0.45">
      <c r="A262" s="55" t="s">
        <v>302</v>
      </c>
      <c r="B262" s="55" t="s">
        <v>357</v>
      </c>
      <c r="C262" s="55" t="s">
        <v>358</v>
      </c>
      <c r="D262" s="55" t="s">
        <v>359</v>
      </c>
      <c r="E262" s="55" t="s">
        <v>11</v>
      </c>
      <c r="F262" s="55" t="s">
        <v>362</v>
      </c>
      <c r="G262" s="2" t="s">
        <v>13</v>
      </c>
      <c r="H262" s="2">
        <f t="shared" si="4"/>
        <v>1</v>
      </c>
    </row>
    <row r="263" spans="1:8" x14ac:dyDescent="0.45">
      <c r="A263" s="55" t="s">
        <v>302</v>
      </c>
      <c r="B263" s="55" t="s">
        <v>357</v>
      </c>
      <c r="C263" s="55" t="s">
        <v>358</v>
      </c>
      <c r="D263" s="55" t="s">
        <v>359</v>
      </c>
      <c r="E263" s="55" t="s">
        <v>15</v>
      </c>
      <c r="F263" s="55" t="s">
        <v>363</v>
      </c>
      <c r="G263" s="2" t="s">
        <v>13</v>
      </c>
      <c r="H263" s="2">
        <f t="shared" si="4"/>
        <v>1</v>
      </c>
    </row>
    <row r="264" spans="1:8" x14ac:dyDescent="0.45">
      <c r="A264" s="55" t="s">
        <v>302</v>
      </c>
      <c r="B264" s="55" t="s">
        <v>357</v>
      </c>
      <c r="C264" s="55" t="s">
        <v>358</v>
      </c>
      <c r="D264" s="55" t="s">
        <v>359</v>
      </c>
      <c r="E264" s="55" t="s">
        <v>15</v>
      </c>
      <c r="F264" s="55" t="s">
        <v>364</v>
      </c>
      <c r="G264" s="2" t="s">
        <v>13</v>
      </c>
      <c r="H264" s="2">
        <f t="shared" si="4"/>
        <v>1</v>
      </c>
    </row>
    <row r="265" spans="1:8" x14ac:dyDescent="0.45">
      <c r="A265" s="55" t="s">
        <v>302</v>
      </c>
      <c r="B265" s="55" t="s">
        <v>357</v>
      </c>
      <c r="C265" s="55" t="s">
        <v>358</v>
      </c>
      <c r="D265" s="55" t="s">
        <v>359</v>
      </c>
      <c r="E265" s="55" t="s">
        <v>15</v>
      </c>
      <c r="F265" s="55" t="s">
        <v>365</v>
      </c>
      <c r="G265" s="2" t="s">
        <v>13</v>
      </c>
      <c r="H265" s="2">
        <f t="shared" si="4"/>
        <v>1</v>
      </c>
    </row>
    <row r="266" spans="1:8" x14ac:dyDescent="0.45">
      <c r="A266" s="55" t="s">
        <v>302</v>
      </c>
      <c r="B266" s="55" t="s">
        <v>357</v>
      </c>
      <c r="C266" s="55" t="s">
        <v>358</v>
      </c>
      <c r="D266" s="55" t="s">
        <v>359</v>
      </c>
      <c r="E266" s="55" t="s">
        <v>19</v>
      </c>
      <c r="F266" s="55" t="s">
        <v>366</v>
      </c>
      <c r="G266" s="2" t="s">
        <v>13</v>
      </c>
      <c r="H266" s="2">
        <f t="shared" si="4"/>
        <v>1</v>
      </c>
    </row>
    <row r="267" spans="1:8" x14ac:dyDescent="0.45">
      <c r="A267" s="55" t="s">
        <v>302</v>
      </c>
      <c r="B267" s="55" t="s">
        <v>357</v>
      </c>
      <c r="C267" s="55" t="s">
        <v>358</v>
      </c>
      <c r="D267" s="55" t="s">
        <v>359</v>
      </c>
      <c r="E267" s="55" t="s">
        <v>19</v>
      </c>
      <c r="F267" s="55" t="s">
        <v>367</v>
      </c>
      <c r="G267" s="2" t="s">
        <v>13</v>
      </c>
      <c r="H267" s="2">
        <f t="shared" si="4"/>
        <v>1</v>
      </c>
    </row>
    <row r="268" spans="1:8" x14ac:dyDescent="0.45">
      <c r="A268" s="55" t="s">
        <v>302</v>
      </c>
      <c r="B268" s="55" t="s">
        <v>357</v>
      </c>
      <c r="C268" s="55" t="s">
        <v>358</v>
      </c>
      <c r="D268" s="55" t="s">
        <v>359</v>
      </c>
      <c r="E268" s="55" t="s">
        <v>19</v>
      </c>
      <c r="F268" s="55" t="s">
        <v>368</v>
      </c>
      <c r="G268" s="2" t="s">
        <v>13</v>
      </c>
      <c r="H268" s="2">
        <f t="shared" si="4"/>
        <v>1</v>
      </c>
    </row>
    <row r="269" spans="1:8" x14ac:dyDescent="0.45">
      <c r="A269" s="55" t="s">
        <v>302</v>
      </c>
      <c r="B269" s="55" t="s">
        <v>357</v>
      </c>
      <c r="C269" s="55" t="s">
        <v>358</v>
      </c>
      <c r="D269" s="55" t="s">
        <v>359</v>
      </c>
      <c r="E269" s="55" t="s">
        <v>19</v>
      </c>
      <c r="F269" s="55" t="s">
        <v>369</v>
      </c>
      <c r="G269" s="2" t="s">
        <v>13</v>
      </c>
      <c r="H269" s="2">
        <f t="shared" si="4"/>
        <v>1</v>
      </c>
    </row>
    <row r="270" spans="1:8" x14ac:dyDescent="0.45">
      <c r="A270" s="55" t="s">
        <v>302</v>
      </c>
      <c r="B270" s="55" t="s">
        <v>357</v>
      </c>
      <c r="C270" s="55" t="s">
        <v>370</v>
      </c>
      <c r="D270" s="55" t="s">
        <v>371</v>
      </c>
      <c r="E270" s="55" t="s">
        <v>11</v>
      </c>
      <c r="F270" s="55" t="s">
        <v>372</v>
      </c>
      <c r="G270" s="2" t="s">
        <v>13</v>
      </c>
      <c r="H270" s="2">
        <f t="shared" si="4"/>
        <v>1</v>
      </c>
    </row>
    <row r="271" spans="1:8" x14ac:dyDescent="0.45">
      <c r="A271" s="55" t="s">
        <v>302</v>
      </c>
      <c r="B271" s="55" t="s">
        <v>357</v>
      </c>
      <c r="C271" s="55" t="s">
        <v>370</v>
      </c>
      <c r="D271" s="55" t="s">
        <v>371</v>
      </c>
      <c r="E271" s="55" t="s">
        <v>11</v>
      </c>
      <c r="F271" s="55" t="s">
        <v>373</v>
      </c>
      <c r="G271" s="2" t="s">
        <v>13</v>
      </c>
      <c r="H271" s="2">
        <f t="shared" si="4"/>
        <v>1</v>
      </c>
    </row>
    <row r="272" spans="1:8" x14ac:dyDescent="0.45">
      <c r="A272" s="55" t="s">
        <v>302</v>
      </c>
      <c r="B272" s="55" t="s">
        <v>357</v>
      </c>
      <c r="C272" s="55" t="s">
        <v>370</v>
      </c>
      <c r="D272" s="55" t="s">
        <v>371</v>
      </c>
      <c r="E272" s="55" t="s">
        <v>11</v>
      </c>
      <c r="F272" s="55" t="s">
        <v>374</v>
      </c>
      <c r="G272" s="2" t="s">
        <v>13</v>
      </c>
      <c r="H272" s="2">
        <f t="shared" si="4"/>
        <v>1</v>
      </c>
    </row>
    <row r="273" spans="1:8" x14ac:dyDescent="0.45">
      <c r="A273" s="55" t="s">
        <v>302</v>
      </c>
      <c r="B273" s="55" t="s">
        <v>357</v>
      </c>
      <c r="C273" s="55" t="s">
        <v>370</v>
      </c>
      <c r="D273" s="55" t="s">
        <v>371</v>
      </c>
      <c r="E273" s="55" t="s">
        <v>15</v>
      </c>
      <c r="F273" s="55" t="s">
        <v>375</v>
      </c>
      <c r="G273" s="2" t="s">
        <v>13</v>
      </c>
      <c r="H273" s="2">
        <f t="shared" si="4"/>
        <v>1</v>
      </c>
    </row>
    <row r="274" spans="1:8" x14ac:dyDescent="0.45">
      <c r="A274" s="55" t="s">
        <v>302</v>
      </c>
      <c r="B274" s="55" t="s">
        <v>357</v>
      </c>
      <c r="C274" s="55" t="s">
        <v>370</v>
      </c>
      <c r="D274" s="55" t="s">
        <v>371</v>
      </c>
      <c r="E274" s="55" t="s">
        <v>15</v>
      </c>
      <c r="F274" s="55" t="s">
        <v>376</v>
      </c>
      <c r="G274" s="2" t="s">
        <v>13</v>
      </c>
      <c r="H274" s="2">
        <f t="shared" si="4"/>
        <v>1</v>
      </c>
    </row>
    <row r="275" spans="1:8" x14ac:dyDescent="0.45">
      <c r="A275" s="55" t="s">
        <v>302</v>
      </c>
      <c r="B275" s="55" t="s">
        <v>357</v>
      </c>
      <c r="C275" s="55" t="s">
        <v>370</v>
      </c>
      <c r="D275" s="55" t="s">
        <v>371</v>
      </c>
      <c r="E275" s="55" t="s">
        <v>15</v>
      </c>
      <c r="F275" s="55" t="s">
        <v>377</v>
      </c>
      <c r="G275" s="2" t="s">
        <v>13</v>
      </c>
      <c r="H275" s="2">
        <f t="shared" si="4"/>
        <v>1</v>
      </c>
    </row>
    <row r="276" spans="1:8" x14ac:dyDescent="0.45">
      <c r="A276" s="55" t="s">
        <v>302</v>
      </c>
      <c r="B276" s="55" t="s">
        <v>357</v>
      </c>
      <c r="C276" s="55" t="s">
        <v>370</v>
      </c>
      <c r="D276" s="55" t="s">
        <v>371</v>
      </c>
      <c r="E276" s="55" t="s">
        <v>19</v>
      </c>
      <c r="F276" s="55" t="s">
        <v>378</v>
      </c>
      <c r="G276" s="2" t="s">
        <v>13</v>
      </c>
      <c r="H276" s="2">
        <f t="shared" si="4"/>
        <v>1</v>
      </c>
    </row>
    <row r="277" spans="1:8" x14ac:dyDescent="0.45">
      <c r="A277" s="55" t="s">
        <v>302</v>
      </c>
      <c r="B277" s="55" t="s">
        <v>357</v>
      </c>
      <c r="C277" s="55" t="s">
        <v>370</v>
      </c>
      <c r="D277" s="55" t="s">
        <v>371</v>
      </c>
      <c r="E277" s="55" t="s">
        <v>19</v>
      </c>
      <c r="F277" s="55" t="s">
        <v>379</v>
      </c>
      <c r="G277" s="2" t="s">
        <v>13</v>
      </c>
      <c r="H277" s="2">
        <f t="shared" si="4"/>
        <v>1</v>
      </c>
    </row>
    <row r="278" spans="1:8" x14ac:dyDescent="0.45">
      <c r="A278" s="55" t="s">
        <v>302</v>
      </c>
      <c r="B278" s="55" t="s">
        <v>357</v>
      </c>
      <c r="C278" s="55" t="s">
        <v>370</v>
      </c>
      <c r="D278" s="55" t="s">
        <v>371</v>
      </c>
      <c r="E278" s="55" t="s">
        <v>19</v>
      </c>
      <c r="F278" s="55" t="s">
        <v>380</v>
      </c>
      <c r="G278" s="2" t="s">
        <v>13</v>
      </c>
      <c r="H278" s="2">
        <f t="shared" si="4"/>
        <v>1</v>
      </c>
    </row>
    <row r="279" spans="1:8" x14ac:dyDescent="0.45">
      <c r="A279" s="55" t="s">
        <v>381</v>
      </c>
      <c r="B279" s="55"/>
      <c r="C279" s="55" t="s">
        <v>382</v>
      </c>
      <c r="D279" s="55" t="s">
        <v>383</v>
      </c>
      <c r="E279" s="55" t="s">
        <v>11</v>
      </c>
      <c r="F279" s="55" t="s">
        <v>384</v>
      </c>
      <c r="G279" s="2" t="s">
        <v>13</v>
      </c>
      <c r="H279" s="2">
        <f t="shared" si="4"/>
        <v>1</v>
      </c>
    </row>
    <row r="280" spans="1:8" x14ac:dyDescent="0.45">
      <c r="A280" s="55" t="s">
        <v>381</v>
      </c>
      <c r="B280" s="55"/>
      <c r="C280" s="55" t="s">
        <v>382</v>
      </c>
      <c r="D280" s="55" t="s">
        <v>383</v>
      </c>
      <c r="E280" s="55" t="s">
        <v>11</v>
      </c>
      <c r="F280" s="55" t="s">
        <v>385</v>
      </c>
      <c r="G280" s="2" t="s">
        <v>13</v>
      </c>
      <c r="H280" s="2">
        <f t="shared" si="4"/>
        <v>1</v>
      </c>
    </row>
    <row r="281" spans="1:8" x14ac:dyDescent="0.45">
      <c r="A281" s="55" t="s">
        <v>381</v>
      </c>
      <c r="B281" s="55"/>
      <c r="C281" s="55" t="s">
        <v>382</v>
      </c>
      <c r="D281" s="55" t="s">
        <v>383</v>
      </c>
      <c r="E281" s="55" t="s">
        <v>11</v>
      </c>
      <c r="F281" s="55" t="s">
        <v>386</v>
      </c>
      <c r="G281" s="2" t="s">
        <v>13</v>
      </c>
      <c r="H281" s="2">
        <f t="shared" si="4"/>
        <v>1</v>
      </c>
    </row>
    <row r="282" spans="1:8" x14ac:dyDescent="0.45">
      <c r="A282" s="55" t="s">
        <v>381</v>
      </c>
      <c r="B282" s="55"/>
      <c r="C282" s="55" t="s">
        <v>382</v>
      </c>
      <c r="D282" s="55" t="s">
        <v>383</v>
      </c>
      <c r="E282" s="55" t="s">
        <v>11</v>
      </c>
      <c r="F282" s="55" t="s">
        <v>387</v>
      </c>
      <c r="G282" s="2" t="s">
        <v>13</v>
      </c>
      <c r="H282" s="2">
        <f t="shared" si="4"/>
        <v>1</v>
      </c>
    </row>
    <row r="283" spans="1:8" x14ac:dyDescent="0.45">
      <c r="A283" s="55" t="s">
        <v>381</v>
      </c>
      <c r="B283" s="55"/>
      <c r="C283" s="55" t="s">
        <v>382</v>
      </c>
      <c r="D283" s="55" t="s">
        <v>383</v>
      </c>
      <c r="E283" s="55" t="s">
        <v>11</v>
      </c>
      <c r="F283" s="55" t="s">
        <v>388</v>
      </c>
      <c r="G283" s="2" t="s">
        <v>13</v>
      </c>
      <c r="H283" s="2">
        <f t="shared" si="4"/>
        <v>1</v>
      </c>
    </row>
    <row r="284" spans="1:8" x14ac:dyDescent="0.45">
      <c r="A284" s="55" t="s">
        <v>381</v>
      </c>
      <c r="B284" s="55"/>
      <c r="C284" s="55" t="s">
        <v>382</v>
      </c>
      <c r="D284" s="55" t="s">
        <v>383</v>
      </c>
      <c r="E284" s="55" t="s">
        <v>15</v>
      </c>
      <c r="F284" s="55" t="s">
        <v>389</v>
      </c>
      <c r="G284" s="2" t="s">
        <v>13</v>
      </c>
      <c r="H284" s="2">
        <f t="shared" si="4"/>
        <v>1</v>
      </c>
    </row>
    <row r="285" spans="1:8" x14ac:dyDescent="0.45">
      <c r="A285" s="55" t="s">
        <v>381</v>
      </c>
      <c r="B285" s="55"/>
      <c r="C285" s="55" t="s">
        <v>382</v>
      </c>
      <c r="D285" s="55" t="s">
        <v>383</v>
      </c>
      <c r="E285" s="55" t="s">
        <v>15</v>
      </c>
      <c r="F285" s="55" t="s">
        <v>390</v>
      </c>
      <c r="G285" s="2" t="s">
        <v>13</v>
      </c>
      <c r="H285" s="2">
        <f t="shared" si="4"/>
        <v>1</v>
      </c>
    </row>
    <row r="286" spans="1:8" x14ac:dyDescent="0.45">
      <c r="A286" s="55" t="s">
        <v>381</v>
      </c>
      <c r="B286" s="55"/>
      <c r="C286" s="55" t="s">
        <v>382</v>
      </c>
      <c r="D286" s="55" t="s">
        <v>383</v>
      </c>
      <c r="E286" s="55" t="s">
        <v>15</v>
      </c>
      <c r="F286" s="55" t="s">
        <v>391</v>
      </c>
      <c r="G286" s="2" t="s">
        <v>13</v>
      </c>
      <c r="H286" s="2">
        <f t="shared" si="4"/>
        <v>1</v>
      </c>
    </row>
    <row r="287" spans="1:8" x14ac:dyDescent="0.45">
      <c r="A287" s="55" t="s">
        <v>381</v>
      </c>
      <c r="B287" s="55"/>
      <c r="C287" s="55" t="s">
        <v>382</v>
      </c>
      <c r="D287" s="55" t="s">
        <v>383</v>
      </c>
      <c r="E287" s="55" t="s">
        <v>15</v>
      </c>
      <c r="F287" s="55" t="s">
        <v>392</v>
      </c>
      <c r="G287" s="2" t="s">
        <v>13</v>
      </c>
      <c r="H287" s="2">
        <f t="shared" si="4"/>
        <v>1</v>
      </c>
    </row>
    <row r="288" spans="1:8" x14ac:dyDescent="0.45">
      <c r="A288" s="55" t="s">
        <v>381</v>
      </c>
      <c r="B288" s="55"/>
      <c r="C288" s="55" t="s">
        <v>382</v>
      </c>
      <c r="D288" s="55" t="s">
        <v>383</v>
      </c>
      <c r="E288" s="55" t="s">
        <v>19</v>
      </c>
      <c r="F288" s="55" t="s">
        <v>393</v>
      </c>
      <c r="G288" s="2" t="s">
        <v>13</v>
      </c>
      <c r="H288" s="2">
        <f t="shared" si="4"/>
        <v>1</v>
      </c>
    </row>
    <row r="289" spans="1:8" x14ac:dyDescent="0.45">
      <c r="A289" s="55" t="s">
        <v>381</v>
      </c>
      <c r="B289" s="55"/>
      <c r="C289" s="55" t="s">
        <v>382</v>
      </c>
      <c r="D289" s="55" t="s">
        <v>383</v>
      </c>
      <c r="E289" s="55" t="s">
        <v>19</v>
      </c>
      <c r="F289" s="55" t="s">
        <v>394</v>
      </c>
      <c r="G289" s="2" t="s">
        <v>13</v>
      </c>
      <c r="H289" s="2">
        <f t="shared" si="4"/>
        <v>1</v>
      </c>
    </row>
    <row r="290" spans="1:8" x14ac:dyDescent="0.45">
      <c r="A290" s="55" t="s">
        <v>381</v>
      </c>
      <c r="B290" s="55"/>
      <c r="C290" s="55" t="s">
        <v>382</v>
      </c>
      <c r="D290" s="55" t="s">
        <v>383</v>
      </c>
      <c r="E290" s="55" t="s">
        <v>19</v>
      </c>
      <c r="F290" s="55" t="s">
        <v>395</v>
      </c>
      <c r="G290" s="2" t="s">
        <v>13</v>
      </c>
      <c r="H290" s="2">
        <f t="shared" si="4"/>
        <v>1</v>
      </c>
    </row>
    <row r="291" spans="1:8" x14ac:dyDescent="0.45">
      <c r="A291" s="55" t="s">
        <v>381</v>
      </c>
      <c r="B291" s="55"/>
      <c r="C291" s="55" t="s">
        <v>382</v>
      </c>
      <c r="D291" s="55" t="s">
        <v>383</v>
      </c>
      <c r="E291" s="55" t="s">
        <v>19</v>
      </c>
      <c r="F291" s="55" t="s">
        <v>396</v>
      </c>
      <c r="G291" s="2" t="s">
        <v>13</v>
      </c>
      <c r="H291" s="2">
        <f t="shared" si="4"/>
        <v>1</v>
      </c>
    </row>
    <row r="292" spans="1:8" x14ac:dyDescent="0.45">
      <c r="A292" s="55" t="s">
        <v>381</v>
      </c>
      <c r="B292" s="55"/>
      <c r="C292" s="55" t="s">
        <v>382</v>
      </c>
      <c r="D292" s="55" t="s">
        <v>383</v>
      </c>
      <c r="E292" s="55" t="s">
        <v>19</v>
      </c>
      <c r="F292" s="55" t="s">
        <v>397</v>
      </c>
      <c r="G292" s="2" t="s">
        <v>13</v>
      </c>
      <c r="H292" s="2">
        <f t="shared" si="4"/>
        <v>1</v>
      </c>
    </row>
    <row r="293" spans="1:8" x14ac:dyDescent="0.45">
      <c r="A293" s="55" t="s">
        <v>381</v>
      </c>
      <c r="B293" s="55"/>
      <c r="C293" s="55" t="s">
        <v>398</v>
      </c>
      <c r="D293" s="55" t="s">
        <v>399</v>
      </c>
      <c r="E293" s="55" t="s">
        <v>11</v>
      </c>
      <c r="F293" s="55" t="s">
        <v>400</v>
      </c>
      <c r="G293" s="2" t="s">
        <v>13</v>
      </c>
      <c r="H293" s="2">
        <f t="shared" si="4"/>
        <v>1</v>
      </c>
    </row>
    <row r="294" spans="1:8" x14ac:dyDescent="0.45">
      <c r="A294" s="55" t="s">
        <v>381</v>
      </c>
      <c r="B294" s="55"/>
      <c r="C294" s="55" t="s">
        <v>398</v>
      </c>
      <c r="D294" s="55" t="s">
        <v>399</v>
      </c>
      <c r="E294" s="55" t="s">
        <v>11</v>
      </c>
      <c r="F294" s="55" t="s">
        <v>401</v>
      </c>
      <c r="G294" s="2" t="s">
        <v>13</v>
      </c>
      <c r="H294" s="2">
        <f t="shared" si="4"/>
        <v>1</v>
      </c>
    </row>
    <row r="295" spans="1:8" x14ac:dyDescent="0.45">
      <c r="A295" s="55" t="s">
        <v>381</v>
      </c>
      <c r="B295" s="55"/>
      <c r="C295" s="55" t="s">
        <v>398</v>
      </c>
      <c r="D295" s="55" t="s">
        <v>399</v>
      </c>
      <c r="E295" s="55" t="s">
        <v>11</v>
      </c>
      <c r="F295" s="55" t="s">
        <v>402</v>
      </c>
      <c r="G295" s="2" t="s">
        <v>13</v>
      </c>
      <c r="H295" s="2">
        <f t="shared" si="4"/>
        <v>1</v>
      </c>
    </row>
    <row r="296" spans="1:8" x14ac:dyDescent="0.45">
      <c r="A296" s="55" t="s">
        <v>381</v>
      </c>
      <c r="B296" s="55"/>
      <c r="C296" s="55" t="s">
        <v>398</v>
      </c>
      <c r="D296" s="55" t="s">
        <v>399</v>
      </c>
      <c r="E296" s="55" t="s">
        <v>15</v>
      </c>
      <c r="F296" s="55" t="s">
        <v>403</v>
      </c>
      <c r="G296" s="2" t="s">
        <v>13</v>
      </c>
      <c r="H296" s="2">
        <f t="shared" si="4"/>
        <v>1</v>
      </c>
    </row>
    <row r="297" spans="1:8" x14ac:dyDescent="0.45">
      <c r="A297" s="55" t="s">
        <v>381</v>
      </c>
      <c r="B297" s="55"/>
      <c r="C297" s="55" t="s">
        <v>398</v>
      </c>
      <c r="D297" s="55" t="s">
        <v>399</v>
      </c>
      <c r="E297" s="55" t="s">
        <v>15</v>
      </c>
      <c r="F297" s="55" t="s">
        <v>404</v>
      </c>
      <c r="G297" s="2" t="s">
        <v>13</v>
      </c>
      <c r="H297" s="2">
        <f t="shared" si="4"/>
        <v>1</v>
      </c>
    </row>
    <row r="298" spans="1:8" x14ac:dyDescent="0.45">
      <c r="A298" s="55" t="s">
        <v>381</v>
      </c>
      <c r="B298" s="55"/>
      <c r="C298" s="55" t="s">
        <v>398</v>
      </c>
      <c r="D298" s="55" t="s">
        <v>399</v>
      </c>
      <c r="E298" s="55" t="s">
        <v>19</v>
      </c>
      <c r="F298" s="55" t="s">
        <v>405</v>
      </c>
      <c r="G298" s="2" t="s">
        <v>13</v>
      </c>
      <c r="H298" s="2">
        <f t="shared" si="4"/>
        <v>1</v>
      </c>
    </row>
    <row r="299" spans="1:8" x14ac:dyDescent="0.45">
      <c r="A299" s="55" t="s">
        <v>381</v>
      </c>
      <c r="B299" s="55"/>
      <c r="C299" s="55" t="s">
        <v>398</v>
      </c>
      <c r="D299" s="55" t="s">
        <v>399</v>
      </c>
      <c r="E299" s="55" t="s">
        <v>19</v>
      </c>
      <c r="F299" s="55" t="s">
        <v>406</v>
      </c>
      <c r="G299" s="2" t="s">
        <v>13</v>
      </c>
      <c r="H299" s="2">
        <f t="shared" si="4"/>
        <v>1</v>
      </c>
    </row>
    <row r="300" spans="1:8" x14ac:dyDescent="0.45">
      <c r="A300" s="55" t="s">
        <v>381</v>
      </c>
      <c r="B300" s="55"/>
      <c r="C300" s="55" t="s">
        <v>398</v>
      </c>
      <c r="D300" s="55" t="s">
        <v>399</v>
      </c>
      <c r="E300" s="55" t="s">
        <v>19</v>
      </c>
      <c r="F300" s="55" t="s">
        <v>407</v>
      </c>
      <c r="G300" s="2" t="s">
        <v>13</v>
      </c>
      <c r="H300" s="2">
        <f t="shared" si="4"/>
        <v>1</v>
      </c>
    </row>
    <row r="301" spans="1:8" x14ac:dyDescent="0.45">
      <c r="A301" s="55" t="s">
        <v>381</v>
      </c>
      <c r="B301" s="55"/>
      <c r="C301" s="55" t="s">
        <v>408</v>
      </c>
      <c r="D301" s="55" t="s">
        <v>409</v>
      </c>
      <c r="E301" s="55" t="s">
        <v>11</v>
      </c>
      <c r="F301" s="55" t="s">
        <v>410</v>
      </c>
      <c r="G301" s="2" t="s">
        <v>13</v>
      </c>
      <c r="H301" s="2">
        <f t="shared" si="4"/>
        <v>1</v>
      </c>
    </row>
    <row r="302" spans="1:8" x14ac:dyDescent="0.45">
      <c r="A302" s="55" t="s">
        <v>381</v>
      </c>
      <c r="B302" s="55"/>
      <c r="C302" s="55" t="s">
        <v>408</v>
      </c>
      <c r="D302" s="55" t="s">
        <v>409</v>
      </c>
      <c r="E302" s="55" t="s">
        <v>11</v>
      </c>
      <c r="F302" s="55" t="s">
        <v>411</v>
      </c>
      <c r="G302" s="2" t="s">
        <v>13</v>
      </c>
      <c r="H302" s="2">
        <f t="shared" si="4"/>
        <v>1</v>
      </c>
    </row>
    <row r="303" spans="1:8" x14ac:dyDescent="0.45">
      <c r="A303" s="55" t="s">
        <v>381</v>
      </c>
      <c r="B303" s="55"/>
      <c r="C303" s="55" t="s">
        <v>408</v>
      </c>
      <c r="D303" s="55" t="s">
        <v>409</v>
      </c>
      <c r="E303" s="55" t="s">
        <v>15</v>
      </c>
      <c r="F303" s="55" t="s">
        <v>412</v>
      </c>
      <c r="G303" s="2" t="s">
        <v>13</v>
      </c>
      <c r="H303" s="2">
        <f t="shared" si="4"/>
        <v>1</v>
      </c>
    </row>
    <row r="304" spans="1:8" x14ac:dyDescent="0.45">
      <c r="A304" s="55" t="s">
        <v>381</v>
      </c>
      <c r="B304" s="55"/>
      <c r="C304" s="55" t="s">
        <v>408</v>
      </c>
      <c r="D304" s="55" t="s">
        <v>409</v>
      </c>
      <c r="E304" s="55" t="s">
        <v>15</v>
      </c>
      <c r="F304" s="55" t="s">
        <v>413</v>
      </c>
      <c r="G304" s="2" t="s">
        <v>13</v>
      </c>
      <c r="H304" s="2">
        <f t="shared" si="4"/>
        <v>1</v>
      </c>
    </row>
    <row r="305" spans="1:8" x14ac:dyDescent="0.45">
      <c r="A305" s="55" t="s">
        <v>381</v>
      </c>
      <c r="B305" s="55"/>
      <c r="C305" s="55" t="s">
        <v>408</v>
      </c>
      <c r="D305" s="55" t="s">
        <v>409</v>
      </c>
      <c r="E305" s="55" t="s">
        <v>15</v>
      </c>
      <c r="F305" s="55" t="s">
        <v>414</v>
      </c>
      <c r="G305" s="2" t="s">
        <v>13</v>
      </c>
      <c r="H305" s="2">
        <f t="shared" si="4"/>
        <v>1</v>
      </c>
    </row>
    <row r="306" spans="1:8" x14ac:dyDescent="0.45">
      <c r="A306" s="55" t="s">
        <v>381</v>
      </c>
      <c r="B306" s="55"/>
      <c r="C306" s="55" t="s">
        <v>408</v>
      </c>
      <c r="D306" s="55" t="s">
        <v>409</v>
      </c>
      <c r="E306" s="55" t="s">
        <v>19</v>
      </c>
      <c r="F306" s="55" t="s">
        <v>415</v>
      </c>
      <c r="G306" s="2" t="s">
        <v>13</v>
      </c>
      <c r="H306" s="2">
        <f t="shared" si="4"/>
        <v>1</v>
      </c>
    </row>
    <row r="307" spans="1:8" x14ac:dyDescent="0.45">
      <c r="A307" s="55" t="s">
        <v>381</v>
      </c>
      <c r="B307" s="55"/>
      <c r="C307" s="55" t="s">
        <v>408</v>
      </c>
      <c r="D307" s="55" t="s">
        <v>409</v>
      </c>
      <c r="E307" s="55" t="s">
        <v>19</v>
      </c>
      <c r="F307" s="55" t="s">
        <v>416</v>
      </c>
      <c r="G307" s="2" t="s">
        <v>13</v>
      </c>
      <c r="H307" s="2">
        <f t="shared" si="4"/>
        <v>1</v>
      </c>
    </row>
    <row r="308" spans="1:8" x14ac:dyDescent="0.45">
      <c r="A308" s="55" t="s">
        <v>381</v>
      </c>
      <c r="B308" s="55"/>
      <c r="C308" s="55" t="s">
        <v>408</v>
      </c>
      <c r="D308" s="55" t="s">
        <v>409</v>
      </c>
      <c r="E308" s="55" t="s">
        <v>19</v>
      </c>
      <c r="F308" s="55" t="s">
        <v>417</v>
      </c>
      <c r="G308" s="2" t="s">
        <v>13</v>
      </c>
      <c r="H308" s="2">
        <f t="shared" si="4"/>
        <v>1</v>
      </c>
    </row>
    <row r="309" spans="1:8" x14ac:dyDescent="0.45">
      <c r="A309" s="55" t="s">
        <v>381</v>
      </c>
      <c r="B309" s="55"/>
      <c r="C309" s="55" t="s">
        <v>418</v>
      </c>
      <c r="D309" s="55" t="s">
        <v>419</v>
      </c>
      <c r="E309" s="55" t="s">
        <v>11</v>
      </c>
      <c r="F309" s="55" t="s">
        <v>420</v>
      </c>
      <c r="G309" s="2" t="s">
        <v>13</v>
      </c>
      <c r="H309" s="2">
        <f t="shared" si="4"/>
        <v>1</v>
      </c>
    </row>
    <row r="310" spans="1:8" x14ac:dyDescent="0.45">
      <c r="A310" s="55" t="s">
        <v>381</v>
      </c>
      <c r="B310" s="55"/>
      <c r="C310" s="55" t="s">
        <v>418</v>
      </c>
      <c r="D310" s="55" t="s">
        <v>419</v>
      </c>
      <c r="E310" s="55" t="s">
        <v>11</v>
      </c>
      <c r="F310" s="55" t="s">
        <v>421</v>
      </c>
      <c r="G310" s="2" t="s">
        <v>13</v>
      </c>
      <c r="H310" s="2">
        <f t="shared" si="4"/>
        <v>1</v>
      </c>
    </row>
    <row r="311" spans="1:8" x14ac:dyDescent="0.45">
      <c r="A311" s="55" t="s">
        <v>381</v>
      </c>
      <c r="B311" s="55"/>
      <c r="C311" s="55" t="s">
        <v>418</v>
      </c>
      <c r="D311" s="55" t="s">
        <v>419</v>
      </c>
      <c r="E311" s="55" t="s">
        <v>11</v>
      </c>
      <c r="F311" s="55" t="s">
        <v>422</v>
      </c>
      <c r="G311" s="2" t="s">
        <v>13</v>
      </c>
      <c r="H311" s="2">
        <f t="shared" si="4"/>
        <v>1</v>
      </c>
    </row>
    <row r="312" spans="1:8" x14ac:dyDescent="0.45">
      <c r="A312" s="55" t="s">
        <v>381</v>
      </c>
      <c r="B312" s="55"/>
      <c r="C312" s="55" t="s">
        <v>418</v>
      </c>
      <c r="D312" s="55" t="s">
        <v>419</v>
      </c>
      <c r="E312" s="55" t="s">
        <v>11</v>
      </c>
      <c r="F312" s="55" t="s">
        <v>423</v>
      </c>
      <c r="G312" s="2" t="s">
        <v>13</v>
      </c>
      <c r="H312" s="2">
        <f t="shared" si="4"/>
        <v>1</v>
      </c>
    </row>
    <row r="313" spans="1:8" x14ac:dyDescent="0.45">
      <c r="A313" s="55" t="s">
        <v>381</v>
      </c>
      <c r="B313" s="55"/>
      <c r="C313" s="55" t="s">
        <v>418</v>
      </c>
      <c r="D313" s="55" t="s">
        <v>419</v>
      </c>
      <c r="E313" s="55" t="s">
        <v>15</v>
      </c>
      <c r="F313" s="55" t="s">
        <v>424</v>
      </c>
      <c r="G313" s="2" t="s">
        <v>13</v>
      </c>
      <c r="H313" s="2">
        <f t="shared" si="4"/>
        <v>1</v>
      </c>
    </row>
    <row r="314" spans="1:8" x14ac:dyDescent="0.45">
      <c r="A314" s="55" t="s">
        <v>381</v>
      </c>
      <c r="B314" s="55"/>
      <c r="C314" s="55" t="s">
        <v>418</v>
      </c>
      <c r="D314" s="55" t="s">
        <v>419</v>
      </c>
      <c r="E314" s="55" t="s">
        <v>15</v>
      </c>
      <c r="F314" s="55" t="s">
        <v>425</v>
      </c>
      <c r="G314" s="2" t="s">
        <v>13</v>
      </c>
      <c r="H314" s="2">
        <f t="shared" si="4"/>
        <v>1</v>
      </c>
    </row>
    <row r="315" spans="1:8" x14ac:dyDescent="0.45">
      <c r="A315" s="55" t="s">
        <v>381</v>
      </c>
      <c r="B315" s="55"/>
      <c r="C315" s="55" t="s">
        <v>418</v>
      </c>
      <c r="D315" s="55" t="s">
        <v>419</v>
      </c>
      <c r="E315" s="55" t="s">
        <v>15</v>
      </c>
      <c r="F315" s="55" t="s">
        <v>426</v>
      </c>
      <c r="G315" s="2" t="s">
        <v>13</v>
      </c>
      <c r="H315" s="2">
        <f t="shared" si="4"/>
        <v>1</v>
      </c>
    </row>
    <row r="316" spans="1:8" x14ac:dyDescent="0.45">
      <c r="A316" s="55" t="s">
        <v>381</v>
      </c>
      <c r="B316" s="55"/>
      <c r="C316" s="55" t="s">
        <v>418</v>
      </c>
      <c r="D316" s="55" t="s">
        <v>419</v>
      </c>
      <c r="E316" s="55" t="s">
        <v>15</v>
      </c>
      <c r="F316" s="55" t="s">
        <v>427</v>
      </c>
      <c r="G316" s="2" t="s">
        <v>13</v>
      </c>
      <c r="H316" s="2">
        <f t="shared" si="4"/>
        <v>1</v>
      </c>
    </row>
    <row r="317" spans="1:8" x14ac:dyDescent="0.45">
      <c r="A317" s="55" t="s">
        <v>381</v>
      </c>
      <c r="B317" s="55"/>
      <c r="C317" s="55" t="s">
        <v>418</v>
      </c>
      <c r="D317" s="55" t="s">
        <v>419</v>
      </c>
      <c r="E317" s="55" t="s">
        <v>19</v>
      </c>
      <c r="F317" s="55" t="s">
        <v>428</v>
      </c>
      <c r="G317" s="2" t="s">
        <v>13</v>
      </c>
      <c r="H317" s="2">
        <f t="shared" si="4"/>
        <v>1</v>
      </c>
    </row>
    <row r="318" spans="1:8" x14ac:dyDescent="0.45">
      <c r="A318" s="55" t="s">
        <v>381</v>
      </c>
      <c r="B318" s="55"/>
      <c r="C318" s="55" t="s">
        <v>418</v>
      </c>
      <c r="D318" s="55" t="s">
        <v>419</v>
      </c>
      <c r="E318" s="55" t="s">
        <v>19</v>
      </c>
      <c r="F318" s="55" t="s">
        <v>429</v>
      </c>
      <c r="G318" s="2" t="s">
        <v>13</v>
      </c>
      <c r="H318" s="2">
        <f t="shared" si="4"/>
        <v>1</v>
      </c>
    </row>
    <row r="319" spans="1:8" x14ac:dyDescent="0.45">
      <c r="A319" s="55" t="s">
        <v>381</v>
      </c>
      <c r="B319" s="55"/>
      <c r="C319" s="55" t="s">
        <v>418</v>
      </c>
      <c r="D319" s="55" t="s">
        <v>419</v>
      </c>
      <c r="E319" s="55" t="s">
        <v>19</v>
      </c>
      <c r="F319" s="55" t="s">
        <v>430</v>
      </c>
      <c r="G319" s="2" t="s">
        <v>13</v>
      </c>
      <c r="H319" s="2">
        <f t="shared" si="4"/>
        <v>1</v>
      </c>
    </row>
    <row r="320" spans="1:8" x14ac:dyDescent="0.45">
      <c r="A320" s="55" t="s">
        <v>381</v>
      </c>
      <c r="B320" s="55"/>
      <c r="C320" s="55" t="s">
        <v>431</v>
      </c>
      <c r="D320" s="55" t="s">
        <v>432</v>
      </c>
      <c r="E320" s="55" t="s">
        <v>11</v>
      </c>
      <c r="F320" s="55" t="s">
        <v>433</v>
      </c>
      <c r="G320" s="2" t="s">
        <v>13</v>
      </c>
      <c r="H320" s="2">
        <f t="shared" si="4"/>
        <v>1</v>
      </c>
    </row>
    <row r="321" spans="1:8" x14ac:dyDescent="0.45">
      <c r="A321" s="55" t="s">
        <v>381</v>
      </c>
      <c r="B321" s="55"/>
      <c r="C321" s="55" t="s">
        <v>431</v>
      </c>
      <c r="D321" s="55" t="s">
        <v>432</v>
      </c>
      <c r="E321" s="55" t="s">
        <v>11</v>
      </c>
      <c r="F321" s="55" t="s">
        <v>434</v>
      </c>
      <c r="G321" s="2" t="s">
        <v>13</v>
      </c>
      <c r="H321" s="2">
        <f t="shared" si="4"/>
        <v>1</v>
      </c>
    </row>
    <row r="322" spans="1:8" x14ac:dyDescent="0.45">
      <c r="A322" s="55" t="s">
        <v>381</v>
      </c>
      <c r="B322" s="55"/>
      <c r="C322" s="55" t="s">
        <v>431</v>
      </c>
      <c r="D322" s="55" t="s">
        <v>432</v>
      </c>
      <c r="E322" s="55" t="s">
        <v>11</v>
      </c>
      <c r="F322" s="55" t="s">
        <v>435</v>
      </c>
      <c r="G322" s="2" t="s">
        <v>13</v>
      </c>
      <c r="H322" s="2">
        <f t="shared" ref="H322:H385" si="5">IF(G322="Y",1,IF(G322="N",0,""))</f>
        <v>1</v>
      </c>
    </row>
    <row r="323" spans="1:8" x14ac:dyDescent="0.45">
      <c r="A323" s="55" t="s">
        <v>381</v>
      </c>
      <c r="B323" s="55"/>
      <c r="C323" s="55" t="s">
        <v>431</v>
      </c>
      <c r="D323" s="55" t="s">
        <v>432</v>
      </c>
      <c r="E323" s="55" t="s">
        <v>15</v>
      </c>
      <c r="F323" s="55" t="s">
        <v>436</v>
      </c>
      <c r="G323" s="2" t="s">
        <v>13</v>
      </c>
      <c r="H323" s="2">
        <f t="shared" si="5"/>
        <v>1</v>
      </c>
    </row>
    <row r="324" spans="1:8" x14ac:dyDescent="0.45">
      <c r="A324" s="55" t="s">
        <v>381</v>
      </c>
      <c r="B324" s="55"/>
      <c r="C324" s="55" t="s">
        <v>431</v>
      </c>
      <c r="D324" s="55" t="s">
        <v>432</v>
      </c>
      <c r="E324" s="55" t="s">
        <v>15</v>
      </c>
      <c r="F324" s="55" t="s">
        <v>437</v>
      </c>
      <c r="G324" s="2" t="s">
        <v>13</v>
      </c>
      <c r="H324" s="2">
        <f t="shared" si="5"/>
        <v>1</v>
      </c>
    </row>
    <row r="325" spans="1:8" x14ac:dyDescent="0.45">
      <c r="A325" s="55" t="s">
        <v>381</v>
      </c>
      <c r="B325" s="55"/>
      <c r="C325" s="55" t="s">
        <v>431</v>
      </c>
      <c r="D325" s="55" t="s">
        <v>432</v>
      </c>
      <c r="E325" s="55" t="s">
        <v>19</v>
      </c>
      <c r="F325" s="55" t="s">
        <v>438</v>
      </c>
      <c r="G325" s="2" t="s">
        <v>13</v>
      </c>
      <c r="H325" s="2">
        <f t="shared" si="5"/>
        <v>1</v>
      </c>
    </row>
    <row r="326" spans="1:8" x14ac:dyDescent="0.45">
      <c r="A326" s="55" t="s">
        <v>381</v>
      </c>
      <c r="B326" s="55"/>
      <c r="C326" s="55" t="s">
        <v>431</v>
      </c>
      <c r="D326" s="55" t="s">
        <v>432</v>
      </c>
      <c r="E326" s="55" t="s">
        <v>19</v>
      </c>
      <c r="F326" s="55" t="s">
        <v>439</v>
      </c>
      <c r="G326" s="2" t="s">
        <v>13</v>
      </c>
      <c r="H326" s="2">
        <f t="shared" si="5"/>
        <v>1</v>
      </c>
    </row>
    <row r="327" spans="1:8" x14ac:dyDescent="0.45">
      <c r="A327" s="55" t="s">
        <v>381</v>
      </c>
      <c r="B327" s="55"/>
      <c r="C327" s="55" t="s">
        <v>431</v>
      </c>
      <c r="D327" s="55" t="s">
        <v>432</v>
      </c>
      <c r="E327" s="55" t="s">
        <v>19</v>
      </c>
      <c r="F327" s="55" t="s">
        <v>440</v>
      </c>
      <c r="G327" s="2" t="s">
        <v>13</v>
      </c>
      <c r="H327" s="2">
        <f t="shared" si="5"/>
        <v>1</v>
      </c>
    </row>
    <row r="328" spans="1:8" x14ac:dyDescent="0.45">
      <c r="A328" s="55" t="s">
        <v>381</v>
      </c>
      <c r="B328" s="55"/>
      <c r="C328" s="55" t="s">
        <v>441</v>
      </c>
      <c r="D328" s="55" t="s">
        <v>442</v>
      </c>
      <c r="E328" s="55" t="s">
        <v>11</v>
      </c>
      <c r="F328" s="55" t="s">
        <v>443</v>
      </c>
      <c r="G328" s="2" t="s">
        <v>13</v>
      </c>
      <c r="H328" s="2">
        <f t="shared" si="5"/>
        <v>1</v>
      </c>
    </row>
    <row r="329" spans="1:8" x14ac:dyDescent="0.45">
      <c r="A329" s="55" t="s">
        <v>381</v>
      </c>
      <c r="B329" s="55"/>
      <c r="C329" s="55" t="s">
        <v>441</v>
      </c>
      <c r="D329" s="55" t="s">
        <v>442</v>
      </c>
      <c r="E329" s="55" t="s">
        <v>11</v>
      </c>
      <c r="F329" s="55" t="s">
        <v>444</v>
      </c>
      <c r="G329" s="2" t="s">
        <v>13</v>
      </c>
      <c r="H329" s="2">
        <f t="shared" si="5"/>
        <v>1</v>
      </c>
    </row>
    <row r="330" spans="1:8" x14ac:dyDescent="0.45">
      <c r="A330" s="55" t="s">
        <v>381</v>
      </c>
      <c r="B330" s="55"/>
      <c r="C330" s="55" t="s">
        <v>441</v>
      </c>
      <c r="D330" s="55" t="s">
        <v>442</v>
      </c>
      <c r="E330" s="55" t="s">
        <v>11</v>
      </c>
      <c r="F330" s="55" t="s">
        <v>445</v>
      </c>
      <c r="G330" s="2" t="s">
        <v>13</v>
      </c>
      <c r="H330" s="2">
        <f t="shared" si="5"/>
        <v>1</v>
      </c>
    </row>
    <row r="331" spans="1:8" x14ac:dyDescent="0.45">
      <c r="A331" s="55" t="s">
        <v>381</v>
      </c>
      <c r="B331" s="55"/>
      <c r="C331" s="55" t="s">
        <v>441</v>
      </c>
      <c r="D331" s="55" t="s">
        <v>442</v>
      </c>
      <c r="E331" s="55" t="s">
        <v>15</v>
      </c>
      <c r="F331" s="55" t="s">
        <v>446</v>
      </c>
      <c r="G331" s="2" t="s">
        <v>13</v>
      </c>
      <c r="H331" s="2">
        <f t="shared" si="5"/>
        <v>1</v>
      </c>
    </row>
    <row r="332" spans="1:8" x14ac:dyDescent="0.45">
      <c r="A332" s="55" t="s">
        <v>381</v>
      </c>
      <c r="B332" s="55"/>
      <c r="C332" s="55" t="s">
        <v>441</v>
      </c>
      <c r="D332" s="55" t="s">
        <v>442</v>
      </c>
      <c r="E332" s="55" t="s">
        <v>19</v>
      </c>
      <c r="F332" s="55" t="s">
        <v>447</v>
      </c>
      <c r="G332" s="2" t="s">
        <v>13</v>
      </c>
      <c r="H332" s="2">
        <f t="shared" si="5"/>
        <v>1</v>
      </c>
    </row>
    <row r="333" spans="1:8" x14ac:dyDescent="0.45">
      <c r="A333" s="55" t="s">
        <v>381</v>
      </c>
      <c r="B333" s="55"/>
      <c r="C333" s="55" t="s">
        <v>441</v>
      </c>
      <c r="D333" s="55" t="s">
        <v>442</v>
      </c>
      <c r="E333" s="55" t="s">
        <v>19</v>
      </c>
      <c r="F333" s="55" t="s">
        <v>448</v>
      </c>
      <c r="G333" s="2" t="s">
        <v>13</v>
      </c>
      <c r="H333" s="2">
        <f t="shared" si="5"/>
        <v>1</v>
      </c>
    </row>
    <row r="334" spans="1:8" x14ac:dyDescent="0.45">
      <c r="A334" s="55" t="s">
        <v>381</v>
      </c>
      <c r="B334" s="55"/>
      <c r="C334" s="55" t="s">
        <v>441</v>
      </c>
      <c r="D334" s="55" t="s">
        <v>442</v>
      </c>
      <c r="E334" s="55" t="s">
        <v>19</v>
      </c>
      <c r="F334" s="55" t="s">
        <v>449</v>
      </c>
      <c r="G334" s="2" t="s">
        <v>13</v>
      </c>
      <c r="H334" s="2">
        <f t="shared" si="5"/>
        <v>1</v>
      </c>
    </row>
    <row r="335" spans="1:8" x14ac:dyDescent="0.45">
      <c r="A335" s="55" t="s">
        <v>450</v>
      </c>
      <c r="B335" s="55"/>
      <c r="C335" s="55" t="s">
        <v>451</v>
      </c>
      <c r="D335" s="55" t="s">
        <v>452</v>
      </c>
      <c r="E335" s="55" t="s">
        <v>11</v>
      </c>
      <c r="F335" s="55" t="s">
        <v>453</v>
      </c>
      <c r="G335" s="2" t="s">
        <v>13</v>
      </c>
      <c r="H335" s="2">
        <f t="shared" si="5"/>
        <v>1</v>
      </c>
    </row>
    <row r="336" spans="1:8" x14ac:dyDescent="0.45">
      <c r="A336" s="55" t="s">
        <v>450</v>
      </c>
      <c r="B336" s="55"/>
      <c r="C336" s="55" t="s">
        <v>451</v>
      </c>
      <c r="D336" s="55" t="s">
        <v>452</v>
      </c>
      <c r="E336" s="55" t="s">
        <v>11</v>
      </c>
      <c r="F336" s="55" t="s">
        <v>454</v>
      </c>
      <c r="G336" s="2" t="s">
        <v>13</v>
      </c>
      <c r="H336" s="2">
        <f t="shared" si="5"/>
        <v>1</v>
      </c>
    </row>
    <row r="337" spans="1:8" x14ac:dyDescent="0.45">
      <c r="A337" s="55" t="s">
        <v>450</v>
      </c>
      <c r="B337" s="55"/>
      <c r="C337" s="55" t="s">
        <v>451</v>
      </c>
      <c r="D337" s="55" t="s">
        <v>452</v>
      </c>
      <c r="E337" s="55" t="s">
        <v>15</v>
      </c>
      <c r="F337" s="55" t="s">
        <v>455</v>
      </c>
      <c r="G337" s="2" t="s">
        <v>13</v>
      </c>
      <c r="H337" s="2">
        <f t="shared" si="5"/>
        <v>1</v>
      </c>
    </row>
    <row r="338" spans="1:8" x14ac:dyDescent="0.45">
      <c r="A338" s="55" t="s">
        <v>450</v>
      </c>
      <c r="B338" s="55"/>
      <c r="C338" s="55" t="s">
        <v>451</v>
      </c>
      <c r="D338" s="55" t="s">
        <v>452</v>
      </c>
      <c r="E338" s="55" t="s">
        <v>15</v>
      </c>
      <c r="F338" s="55" t="s">
        <v>456</v>
      </c>
      <c r="G338" s="2" t="s">
        <v>13</v>
      </c>
      <c r="H338" s="2">
        <f t="shared" si="5"/>
        <v>1</v>
      </c>
    </row>
    <row r="339" spans="1:8" x14ac:dyDescent="0.45">
      <c r="A339" s="55" t="s">
        <v>450</v>
      </c>
      <c r="B339" s="55"/>
      <c r="C339" s="55" t="s">
        <v>451</v>
      </c>
      <c r="D339" s="55" t="s">
        <v>452</v>
      </c>
      <c r="E339" s="55" t="s">
        <v>19</v>
      </c>
      <c r="F339" s="55" t="s">
        <v>457</v>
      </c>
      <c r="G339" s="2" t="s">
        <v>13</v>
      </c>
      <c r="H339" s="2">
        <f t="shared" si="5"/>
        <v>1</v>
      </c>
    </row>
    <row r="340" spans="1:8" x14ac:dyDescent="0.45">
      <c r="A340" s="55" t="s">
        <v>450</v>
      </c>
      <c r="B340" s="55"/>
      <c r="C340" s="55" t="s">
        <v>451</v>
      </c>
      <c r="D340" s="55" t="s">
        <v>452</v>
      </c>
      <c r="E340" s="55" t="s">
        <v>19</v>
      </c>
      <c r="F340" s="55" t="s">
        <v>458</v>
      </c>
      <c r="G340" s="2" t="s">
        <v>13</v>
      </c>
      <c r="H340" s="2">
        <f t="shared" si="5"/>
        <v>1</v>
      </c>
    </row>
    <row r="341" spans="1:8" x14ac:dyDescent="0.45">
      <c r="A341" s="55" t="s">
        <v>450</v>
      </c>
      <c r="B341" s="55"/>
      <c r="C341" s="55" t="s">
        <v>451</v>
      </c>
      <c r="D341" s="55" t="s">
        <v>452</v>
      </c>
      <c r="E341" s="55" t="s">
        <v>19</v>
      </c>
      <c r="F341" s="55" t="s">
        <v>459</v>
      </c>
      <c r="G341" s="2" t="s">
        <v>13</v>
      </c>
      <c r="H341" s="2">
        <f t="shared" si="5"/>
        <v>1</v>
      </c>
    </row>
    <row r="342" spans="1:8" x14ac:dyDescent="0.45">
      <c r="A342" s="55" t="s">
        <v>450</v>
      </c>
      <c r="B342" s="55"/>
      <c r="C342" s="55" t="s">
        <v>451</v>
      </c>
      <c r="D342" s="55" t="s">
        <v>452</v>
      </c>
      <c r="E342" s="55" t="s">
        <v>19</v>
      </c>
      <c r="F342" s="55" t="s">
        <v>460</v>
      </c>
      <c r="G342" s="2" t="s">
        <v>13</v>
      </c>
      <c r="H342" s="2">
        <f t="shared" si="5"/>
        <v>1</v>
      </c>
    </row>
    <row r="343" spans="1:8" x14ac:dyDescent="0.45">
      <c r="A343" s="55" t="s">
        <v>450</v>
      </c>
      <c r="B343" s="55"/>
      <c r="C343" s="55" t="s">
        <v>461</v>
      </c>
      <c r="D343" s="55" t="s">
        <v>462</v>
      </c>
      <c r="E343" s="55" t="s">
        <v>11</v>
      </c>
      <c r="F343" s="55" t="s">
        <v>463</v>
      </c>
      <c r="G343" s="2" t="s">
        <v>13</v>
      </c>
      <c r="H343" s="2">
        <f t="shared" si="5"/>
        <v>1</v>
      </c>
    </row>
    <row r="344" spans="1:8" x14ac:dyDescent="0.45">
      <c r="A344" s="55" t="s">
        <v>450</v>
      </c>
      <c r="B344" s="55"/>
      <c r="C344" s="55" t="s">
        <v>461</v>
      </c>
      <c r="D344" s="55" t="s">
        <v>462</v>
      </c>
      <c r="E344" s="55" t="s">
        <v>11</v>
      </c>
      <c r="F344" s="55" t="s">
        <v>464</v>
      </c>
      <c r="G344" s="2" t="s">
        <v>13</v>
      </c>
      <c r="H344" s="2">
        <f t="shared" si="5"/>
        <v>1</v>
      </c>
    </row>
    <row r="345" spans="1:8" x14ac:dyDescent="0.45">
      <c r="A345" s="55" t="s">
        <v>450</v>
      </c>
      <c r="B345" s="55"/>
      <c r="C345" s="55" t="s">
        <v>461</v>
      </c>
      <c r="D345" s="55" t="s">
        <v>462</v>
      </c>
      <c r="E345" s="55" t="s">
        <v>11</v>
      </c>
      <c r="F345" s="55" t="s">
        <v>465</v>
      </c>
      <c r="G345" s="2" t="s">
        <v>13</v>
      </c>
      <c r="H345" s="2">
        <f t="shared" si="5"/>
        <v>1</v>
      </c>
    </row>
    <row r="346" spans="1:8" x14ac:dyDescent="0.45">
      <c r="A346" s="55" t="s">
        <v>450</v>
      </c>
      <c r="B346" s="55"/>
      <c r="C346" s="55" t="s">
        <v>461</v>
      </c>
      <c r="D346" s="55" t="s">
        <v>462</v>
      </c>
      <c r="E346" s="55" t="s">
        <v>15</v>
      </c>
      <c r="F346" s="55" t="s">
        <v>466</v>
      </c>
      <c r="G346" s="2" t="s">
        <v>13</v>
      </c>
      <c r="H346" s="2">
        <f t="shared" si="5"/>
        <v>1</v>
      </c>
    </row>
    <row r="347" spans="1:8" x14ac:dyDescent="0.45">
      <c r="A347" s="55" t="s">
        <v>450</v>
      </c>
      <c r="B347" s="55"/>
      <c r="C347" s="55" t="s">
        <v>461</v>
      </c>
      <c r="D347" s="55" t="s">
        <v>462</v>
      </c>
      <c r="E347" s="55" t="s">
        <v>15</v>
      </c>
      <c r="F347" s="55" t="s">
        <v>466</v>
      </c>
      <c r="G347" s="2" t="s">
        <v>13</v>
      </c>
      <c r="H347" s="2">
        <f t="shared" si="5"/>
        <v>1</v>
      </c>
    </row>
    <row r="348" spans="1:8" x14ac:dyDescent="0.45">
      <c r="A348" s="55" t="s">
        <v>450</v>
      </c>
      <c r="B348" s="55"/>
      <c r="C348" s="55" t="s">
        <v>461</v>
      </c>
      <c r="D348" s="55" t="s">
        <v>462</v>
      </c>
      <c r="E348" s="55" t="s">
        <v>19</v>
      </c>
      <c r="F348" s="55" t="s">
        <v>467</v>
      </c>
      <c r="G348" s="2" t="s">
        <v>13</v>
      </c>
      <c r="H348" s="2">
        <f t="shared" si="5"/>
        <v>1</v>
      </c>
    </row>
    <row r="349" spans="1:8" x14ac:dyDescent="0.45">
      <c r="A349" s="55" t="s">
        <v>450</v>
      </c>
      <c r="B349" s="55"/>
      <c r="C349" s="55" t="s">
        <v>461</v>
      </c>
      <c r="D349" s="55" t="s">
        <v>462</v>
      </c>
      <c r="E349" s="55" t="s">
        <v>19</v>
      </c>
      <c r="F349" s="55" t="s">
        <v>468</v>
      </c>
      <c r="G349" s="2" t="s">
        <v>13</v>
      </c>
      <c r="H349" s="2">
        <f t="shared" si="5"/>
        <v>1</v>
      </c>
    </row>
    <row r="350" spans="1:8" x14ac:dyDescent="0.45">
      <c r="A350" s="55" t="s">
        <v>450</v>
      </c>
      <c r="B350" s="55"/>
      <c r="C350" s="55" t="s">
        <v>461</v>
      </c>
      <c r="D350" s="55" t="s">
        <v>462</v>
      </c>
      <c r="E350" s="55" t="s">
        <v>19</v>
      </c>
      <c r="F350" s="55" t="s">
        <v>469</v>
      </c>
      <c r="G350" s="2" t="s">
        <v>13</v>
      </c>
      <c r="H350" s="2">
        <f t="shared" si="5"/>
        <v>1</v>
      </c>
    </row>
    <row r="351" spans="1:8" x14ac:dyDescent="0.45">
      <c r="A351" s="55" t="s">
        <v>450</v>
      </c>
      <c r="B351" s="55"/>
      <c r="C351" s="55" t="s">
        <v>461</v>
      </c>
      <c r="D351" s="55" t="s">
        <v>462</v>
      </c>
      <c r="E351" s="55" t="s">
        <v>19</v>
      </c>
      <c r="F351" s="55" t="s">
        <v>470</v>
      </c>
      <c r="G351" s="2" t="s">
        <v>13</v>
      </c>
      <c r="H351" s="2">
        <f t="shared" si="5"/>
        <v>1</v>
      </c>
    </row>
    <row r="352" spans="1:8" x14ac:dyDescent="0.45">
      <c r="A352" s="55" t="s">
        <v>450</v>
      </c>
      <c r="B352" s="55"/>
      <c r="C352" s="55" t="s">
        <v>471</v>
      </c>
      <c r="D352" s="55" t="s">
        <v>472</v>
      </c>
      <c r="E352" s="55" t="s">
        <v>11</v>
      </c>
      <c r="F352" s="55" t="s">
        <v>473</v>
      </c>
      <c r="G352" s="2" t="s">
        <v>13</v>
      </c>
      <c r="H352" s="2">
        <f t="shared" si="5"/>
        <v>1</v>
      </c>
    </row>
    <row r="353" spans="1:8" x14ac:dyDescent="0.45">
      <c r="A353" s="55" t="s">
        <v>450</v>
      </c>
      <c r="B353" s="55"/>
      <c r="C353" s="55" t="s">
        <v>471</v>
      </c>
      <c r="D353" s="55" t="s">
        <v>472</v>
      </c>
      <c r="E353" s="55" t="s">
        <v>11</v>
      </c>
      <c r="F353" s="55" t="s">
        <v>474</v>
      </c>
      <c r="G353" s="2" t="s">
        <v>13</v>
      </c>
      <c r="H353" s="2">
        <f t="shared" si="5"/>
        <v>1</v>
      </c>
    </row>
    <row r="354" spans="1:8" x14ac:dyDescent="0.45">
      <c r="A354" s="55" t="s">
        <v>450</v>
      </c>
      <c r="B354" s="55"/>
      <c r="C354" s="55" t="s">
        <v>471</v>
      </c>
      <c r="D354" s="55" t="s">
        <v>472</v>
      </c>
      <c r="E354" s="55" t="s">
        <v>11</v>
      </c>
      <c r="F354" s="55" t="s">
        <v>475</v>
      </c>
      <c r="G354" s="2" t="s">
        <v>13</v>
      </c>
      <c r="H354" s="2">
        <f t="shared" si="5"/>
        <v>1</v>
      </c>
    </row>
    <row r="355" spans="1:8" x14ac:dyDescent="0.45">
      <c r="A355" s="55" t="s">
        <v>450</v>
      </c>
      <c r="B355" s="55"/>
      <c r="C355" s="55" t="s">
        <v>471</v>
      </c>
      <c r="D355" s="55" t="s">
        <v>472</v>
      </c>
      <c r="E355" s="55" t="s">
        <v>11</v>
      </c>
      <c r="F355" s="55" t="s">
        <v>476</v>
      </c>
      <c r="G355" s="2" t="s">
        <v>13</v>
      </c>
      <c r="H355" s="2">
        <f t="shared" si="5"/>
        <v>1</v>
      </c>
    </row>
    <row r="356" spans="1:8" x14ac:dyDescent="0.45">
      <c r="A356" s="55" t="s">
        <v>450</v>
      </c>
      <c r="B356" s="55"/>
      <c r="C356" s="55" t="s">
        <v>471</v>
      </c>
      <c r="D356" s="55" t="s">
        <v>472</v>
      </c>
      <c r="E356" s="55" t="s">
        <v>15</v>
      </c>
      <c r="F356" s="55" t="s">
        <v>477</v>
      </c>
      <c r="G356" s="2" t="s">
        <v>478</v>
      </c>
      <c r="H356" s="2">
        <f t="shared" si="5"/>
        <v>0</v>
      </c>
    </row>
    <row r="357" spans="1:8" x14ac:dyDescent="0.45">
      <c r="A357" s="55" t="s">
        <v>450</v>
      </c>
      <c r="B357" s="55"/>
      <c r="C357" s="55" t="s">
        <v>471</v>
      </c>
      <c r="D357" s="55" t="s">
        <v>472</v>
      </c>
      <c r="E357" s="55" t="s">
        <v>15</v>
      </c>
      <c r="F357" s="55" t="s">
        <v>479</v>
      </c>
      <c r="G357" s="2" t="s">
        <v>13</v>
      </c>
      <c r="H357" s="2">
        <f t="shared" si="5"/>
        <v>1</v>
      </c>
    </row>
    <row r="358" spans="1:8" x14ac:dyDescent="0.45">
      <c r="A358" s="55" t="s">
        <v>450</v>
      </c>
      <c r="B358" s="55"/>
      <c r="C358" s="55" t="s">
        <v>471</v>
      </c>
      <c r="D358" s="55" t="s">
        <v>472</v>
      </c>
      <c r="E358" s="55" t="s">
        <v>19</v>
      </c>
      <c r="F358" s="55" t="s">
        <v>480</v>
      </c>
      <c r="G358" s="2" t="s">
        <v>13</v>
      </c>
      <c r="H358" s="2">
        <f t="shared" si="5"/>
        <v>1</v>
      </c>
    </row>
    <row r="359" spans="1:8" x14ac:dyDescent="0.45">
      <c r="A359" s="55" t="s">
        <v>450</v>
      </c>
      <c r="B359" s="55"/>
      <c r="C359" s="55" t="s">
        <v>471</v>
      </c>
      <c r="D359" s="55" t="s">
        <v>472</v>
      </c>
      <c r="E359" s="55" t="s">
        <v>19</v>
      </c>
      <c r="F359" s="55" t="s">
        <v>481</v>
      </c>
      <c r="G359" s="2" t="s">
        <v>13</v>
      </c>
      <c r="H359" s="2">
        <f t="shared" si="5"/>
        <v>1</v>
      </c>
    </row>
    <row r="360" spans="1:8" x14ac:dyDescent="0.45">
      <c r="A360" s="55" t="s">
        <v>450</v>
      </c>
      <c r="B360" s="55"/>
      <c r="C360" s="55" t="s">
        <v>471</v>
      </c>
      <c r="D360" s="55" t="s">
        <v>472</v>
      </c>
      <c r="E360" s="55" t="s">
        <v>19</v>
      </c>
      <c r="F360" s="55" t="s">
        <v>482</v>
      </c>
      <c r="G360" s="2" t="s">
        <v>13</v>
      </c>
      <c r="H360" s="2">
        <f t="shared" si="5"/>
        <v>1</v>
      </c>
    </row>
    <row r="361" spans="1:8" x14ac:dyDescent="0.45">
      <c r="A361" s="55" t="s">
        <v>450</v>
      </c>
      <c r="B361" s="55"/>
      <c r="C361" s="55" t="s">
        <v>483</v>
      </c>
      <c r="D361" s="55" t="s">
        <v>484</v>
      </c>
      <c r="E361" s="55" t="s">
        <v>11</v>
      </c>
      <c r="F361" s="55" t="s">
        <v>485</v>
      </c>
      <c r="G361" s="2" t="s">
        <v>13</v>
      </c>
      <c r="H361" s="2">
        <f t="shared" si="5"/>
        <v>1</v>
      </c>
    </row>
    <row r="362" spans="1:8" x14ac:dyDescent="0.45">
      <c r="A362" s="55" t="s">
        <v>450</v>
      </c>
      <c r="B362" s="55"/>
      <c r="C362" s="55" t="s">
        <v>483</v>
      </c>
      <c r="D362" s="55" t="s">
        <v>484</v>
      </c>
      <c r="E362" s="55" t="s">
        <v>11</v>
      </c>
      <c r="F362" s="55" t="s">
        <v>486</v>
      </c>
      <c r="G362" s="2" t="s">
        <v>13</v>
      </c>
      <c r="H362" s="2">
        <f t="shared" si="5"/>
        <v>1</v>
      </c>
    </row>
    <row r="363" spans="1:8" x14ac:dyDescent="0.45">
      <c r="A363" s="55" t="s">
        <v>450</v>
      </c>
      <c r="B363" s="55"/>
      <c r="C363" s="55" t="s">
        <v>483</v>
      </c>
      <c r="D363" s="55" t="s">
        <v>484</v>
      </c>
      <c r="E363" s="55" t="s">
        <v>11</v>
      </c>
      <c r="F363" s="55" t="s">
        <v>487</v>
      </c>
      <c r="G363" s="2" t="s">
        <v>13</v>
      </c>
      <c r="H363" s="2">
        <f t="shared" si="5"/>
        <v>1</v>
      </c>
    </row>
    <row r="364" spans="1:8" x14ac:dyDescent="0.45">
      <c r="A364" s="55" t="s">
        <v>450</v>
      </c>
      <c r="B364" s="55"/>
      <c r="C364" s="55" t="s">
        <v>483</v>
      </c>
      <c r="D364" s="55" t="s">
        <v>484</v>
      </c>
      <c r="E364" s="55" t="s">
        <v>15</v>
      </c>
      <c r="F364" s="55" t="s">
        <v>488</v>
      </c>
      <c r="G364" s="2" t="s">
        <v>13</v>
      </c>
      <c r="H364" s="2">
        <f t="shared" si="5"/>
        <v>1</v>
      </c>
    </row>
    <row r="365" spans="1:8" x14ac:dyDescent="0.45">
      <c r="A365" s="55" t="s">
        <v>450</v>
      </c>
      <c r="B365" s="55"/>
      <c r="C365" s="55" t="s">
        <v>483</v>
      </c>
      <c r="D365" s="55" t="s">
        <v>484</v>
      </c>
      <c r="E365" s="55" t="s">
        <v>15</v>
      </c>
      <c r="F365" s="55" t="s">
        <v>489</v>
      </c>
      <c r="G365" s="2" t="s">
        <v>13</v>
      </c>
      <c r="H365" s="2">
        <f t="shared" si="5"/>
        <v>1</v>
      </c>
    </row>
    <row r="366" spans="1:8" x14ac:dyDescent="0.45">
      <c r="A366" s="55" t="s">
        <v>450</v>
      </c>
      <c r="B366" s="55"/>
      <c r="C366" s="55" t="s">
        <v>483</v>
      </c>
      <c r="D366" s="55" t="s">
        <v>484</v>
      </c>
      <c r="E366" s="55" t="s">
        <v>15</v>
      </c>
      <c r="F366" s="55" t="s">
        <v>490</v>
      </c>
      <c r="G366" s="2" t="s">
        <v>13</v>
      </c>
      <c r="H366" s="2">
        <f t="shared" si="5"/>
        <v>1</v>
      </c>
    </row>
    <row r="367" spans="1:8" x14ac:dyDescent="0.45">
      <c r="A367" s="55" t="s">
        <v>450</v>
      </c>
      <c r="B367" s="55"/>
      <c r="C367" s="55" t="s">
        <v>483</v>
      </c>
      <c r="D367" s="55" t="s">
        <v>484</v>
      </c>
      <c r="E367" s="55" t="s">
        <v>19</v>
      </c>
      <c r="F367" s="55" t="s">
        <v>491</v>
      </c>
      <c r="G367" s="2" t="s">
        <v>13</v>
      </c>
      <c r="H367" s="2">
        <f t="shared" si="5"/>
        <v>1</v>
      </c>
    </row>
    <row r="368" spans="1:8" x14ac:dyDescent="0.45">
      <c r="A368" s="55" t="s">
        <v>450</v>
      </c>
      <c r="B368" s="55"/>
      <c r="C368" s="55" t="s">
        <v>483</v>
      </c>
      <c r="D368" s="55" t="s">
        <v>484</v>
      </c>
      <c r="E368" s="55" t="s">
        <v>19</v>
      </c>
      <c r="F368" s="55" t="s">
        <v>492</v>
      </c>
      <c r="G368" s="2" t="s">
        <v>13</v>
      </c>
      <c r="H368" s="2">
        <f t="shared" si="5"/>
        <v>1</v>
      </c>
    </row>
    <row r="369" spans="1:8" x14ac:dyDescent="0.45">
      <c r="A369" s="55" t="s">
        <v>450</v>
      </c>
      <c r="B369" s="55"/>
      <c r="C369" s="55" t="s">
        <v>483</v>
      </c>
      <c r="D369" s="55" t="s">
        <v>484</v>
      </c>
      <c r="E369" s="55" t="s">
        <v>19</v>
      </c>
      <c r="F369" s="55" t="s">
        <v>493</v>
      </c>
      <c r="G369" s="2" t="s">
        <v>13</v>
      </c>
      <c r="H369" s="2">
        <f t="shared" si="5"/>
        <v>1</v>
      </c>
    </row>
    <row r="370" spans="1:8" x14ac:dyDescent="0.45">
      <c r="A370" s="55" t="s">
        <v>450</v>
      </c>
      <c r="B370" s="55"/>
      <c r="C370" s="55" t="s">
        <v>483</v>
      </c>
      <c r="D370" s="55" t="s">
        <v>484</v>
      </c>
      <c r="E370" s="55" t="s">
        <v>19</v>
      </c>
      <c r="F370" s="55" t="s">
        <v>494</v>
      </c>
      <c r="G370" s="2" t="s">
        <v>13</v>
      </c>
      <c r="H370" s="2">
        <f t="shared" si="5"/>
        <v>1</v>
      </c>
    </row>
    <row r="371" spans="1:8" x14ac:dyDescent="0.45">
      <c r="A371" s="55" t="s">
        <v>450</v>
      </c>
      <c r="B371" s="55"/>
      <c r="C371" s="55" t="s">
        <v>495</v>
      </c>
      <c r="D371" s="55" t="s">
        <v>496</v>
      </c>
      <c r="E371" s="55" t="s">
        <v>11</v>
      </c>
      <c r="F371" s="55" t="s">
        <v>497</v>
      </c>
      <c r="G371" s="2" t="s">
        <v>13</v>
      </c>
      <c r="H371" s="2">
        <f t="shared" si="5"/>
        <v>1</v>
      </c>
    </row>
    <row r="372" spans="1:8" x14ac:dyDescent="0.45">
      <c r="A372" s="55" t="s">
        <v>450</v>
      </c>
      <c r="B372" s="55"/>
      <c r="C372" s="55" t="s">
        <v>495</v>
      </c>
      <c r="D372" s="55" t="s">
        <v>496</v>
      </c>
      <c r="E372" s="55" t="s">
        <v>11</v>
      </c>
      <c r="F372" s="55" t="s">
        <v>498</v>
      </c>
      <c r="G372" s="2" t="s">
        <v>13</v>
      </c>
      <c r="H372" s="2">
        <f t="shared" si="5"/>
        <v>1</v>
      </c>
    </row>
    <row r="373" spans="1:8" x14ac:dyDescent="0.45">
      <c r="A373" s="55" t="s">
        <v>450</v>
      </c>
      <c r="B373" s="55"/>
      <c r="C373" s="55" t="s">
        <v>495</v>
      </c>
      <c r="D373" s="55" t="s">
        <v>496</v>
      </c>
      <c r="E373" s="55" t="s">
        <v>11</v>
      </c>
      <c r="F373" s="55" t="s">
        <v>499</v>
      </c>
      <c r="G373" s="2" t="s">
        <v>13</v>
      </c>
      <c r="H373" s="2">
        <f t="shared" si="5"/>
        <v>1</v>
      </c>
    </row>
    <row r="374" spans="1:8" x14ac:dyDescent="0.45">
      <c r="A374" s="55" t="s">
        <v>450</v>
      </c>
      <c r="B374" s="55"/>
      <c r="C374" s="55" t="s">
        <v>495</v>
      </c>
      <c r="D374" s="55" t="s">
        <v>496</v>
      </c>
      <c r="E374" s="55" t="s">
        <v>15</v>
      </c>
      <c r="F374" s="55" t="s">
        <v>500</v>
      </c>
      <c r="G374" s="2" t="s">
        <v>13</v>
      </c>
      <c r="H374" s="2">
        <f t="shared" si="5"/>
        <v>1</v>
      </c>
    </row>
    <row r="375" spans="1:8" x14ac:dyDescent="0.45">
      <c r="A375" s="55" t="s">
        <v>450</v>
      </c>
      <c r="B375" s="55"/>
      <c r="C375" s="55" t="s">
        <v>495</v>
      </c>
      <c r="D375" s="55" t="s">
        <v>496</v>
      </c>
      <c r="E375" s="55" t="s">
        <v>15</v>
      </c>
      <c r="F375" s="55" t="s">
        <v>501</v>
      </c>
      <c r="G375" s="2" t="s">
        <v>13</v>
      </c>
      <c r="H375" s="2">
        <f t="shared" si="5"/>
        <v>1</v>
      </c>
    </row>
    <row r="376" spans="1:8" x14ac:dyDescent="0.45">
      <c r="A376" s="55" t="s">
        <v>450</v>
      </c>
      <c r="B376" s="55"/>
      <c r="C376" s="55" t="s">
        <v>495</v>
      </c>
      <c r="D376" s="55" t="s">
        <v>496</v>
      </c>
      <c r="E376" s="55" t="s">
        <v>15</v>
      </c>
      <c r="F376" s="55" t="s">
        <v>502</v>
      </c>
      <c r="G376" s="2" t="s">
        <v>13</v>
      </c>
      <c r="H376" s="2">
        <f t="shared" si="5"/>
        <v>1</v>
      </c>
    </row>
    <row r="377" spans="1:8" x14ac:dyDescent="0.45">
      <c r="A377" s="55" t="s">
        <v>450</v>
      </c>
      <c r="B377" s="55"/>
      <c r="C377" s="55" t="s">
        <v>495</v>
      </c>
      <c r="D377" s="55" t="s">
        <v>496</v>
      </c>
      <c r="E377" s="55" t="s">
        <v>19</v>
      </c>
      <c r="F377" s="55" t="s">
        <v>503</v>
      </c>
      <c r="G377" s="2" t="s">
        <v>13</v>
      </c>
      <c r="H377" s="2">
        <f t="shared" si="5"/>
        <v>1</v>
      </c>
    </row>
    <row r="378" spans="1:8" x14ac:dyDescent="0.45">
      <c r="A378" s="55" t="s">
        <v>450</v>
      </c>
      <c r="B378" s="55"/>
      <c r="C378" s="55" t="s">
        <v>495</v>
      </c>
      <c r="D378" s="55" t="s">
        <v>496</v>
      </c>
      <c r="E378" s="55" t="s">
        <v>19</v>
      </c>
      <c r="F378" s="55" t="s">
        <v>504</v>
      </c>
      <c r="G378" s="2" t="s">
        <v>13</v>
      </c>
      <c r="H378" s="2">
        <f t="shared" si="5"/>
        <v>1</v>
      </c>
    </row>
    <row r="379" spans="1:8" x14ac:dyDescent="0.45">
      <c r="A379" s="55" t="s">
        <v>450</v>
      </c>
      <c r="B379" s="55"/>
      <c r="C379" s="55" t="s">
        <v>495</v>
      </c>
      <c r="D379" s="55" t="s">
        <v>496</v>
      </c>
      <c r="E379" s="55" t="s">
        <v>19</v>
      </c>
      <c r="F379" s="55" t="s">
        <v>505</v>
      </c>
      <c r="G379" s="2" t="s">
        <v>13</v>
      </c>
      <c r="H379" s="2">
        <f t="shared" si="5"/>
        <v>1</v>
      </c>
    </row>
    <row r="380" spans="1:8" x14ac:dyDescent="0.45">
      <c r="A380" s="55" t="s">
        <v>450</v>
      </c>
      <c r="B380" s="55"/>
      <c r="C380" s="55" t="s">
        <v>495</v>
      </c>
      <c r="D380" s="55" t="s">
        <v>496</v>
      </c>
      <c r="E380" s="55" t="s">
        <v>19</v>
      </c>
      <c r="F380" s="55" t="s">
        <v>506</v>
      </c>
      <c r="G380" s="2" t="s">
        <v>13</v>
      </c>
      <c r="H380" s="2">
        <f t="shared" si="5"/>
        <v>1</v>
      </c>
    </row>
    <row r="381" spans="1:8" x14ac:dyDescent="0.45">
      <c r="A381" s="55" t="s">
        <v>450</v>
      </c>
      <c r="B381" s="55"/>
      <c r="C381" s="55" t="s">
        <v>507</v>
      </c>
      <c r="D381" s="55" t="s">
        <v>508</v>
      </c>
      <c r="E381" s="55" t="s">
        <v>11</v>
      </c>
      <c r="F381" s="55" t="s">
        <v>509</v>
      </c>
      <c r="G381" s="2" t="s">
        <v>13</v>
      </c>
      <c r="H381" s="2">
        <f t="shared" si="5"/>
        <v>1</v>
      </c>
    </row>
    <row r="382" spans="1:8" x14ac:dyDescent="0.45">
      <c r="A382" s="55" t="s">
        <v>450</v>
      </c>
      <c r="B382" s="55"/>
      <c r="C382" s="55" t="s">
        <v>507</v>
      </c>
      <c r="D382" s="55" t="s">
        <v>508</v>
      </c>
      <c r="E382" s="55" t="s">
        <v>11</v>
      </c>
      <c r="F382" s="55" t="s">
        <v>510</v>
      </c>
      <c r="G382" s="2" t="s">
        <v>13</v>
      </c>
      <c r="H382" s="2">
        <f t="shared" si="5"/>
        <v>1</v>
      </c>
    </row>
    <row r="383" spans="1:8" x14ac:dyDescent="0.45">
      <c r="A383" s="55" t="s">
        <v>450</v>
      </c>
      <c r="B383" s="55"/>
      <c r="C383" s="55" t="s">
        <v>507</v>
      </c>
      <c r="D383" s="55" t="s">
        <v>508</v>
      </c>
      <c r="E383" s="55" t="s">
        <v>11</v>
      </c>
      <c r="F383" s="55" t="s">
        <v>511</v>
      </c>
      <c r="G383" s="2" t="s">
        <v>13</v>
      </c>
      <c r="H383" s="2">
        <f t="shared" si="5"/>
        <v>1</v>
      </c>
    </row>
    <row r="384" spans="1:8" x14ac:dyDescent="0.45">
      <c r="A384" s="55" t="s">
        <v>450</v>
      </c>
      <c r="B384" s="55"/>
      <c r="C384" s="55" t="s">
        <v>507</v>
      </c>
      <c r="D384" s="55" t="s">
        <v>508</v>
      </c>
      <c r="E384" s="55" t="s">
        <v>11</v>
      </c>
      <c r="F384" s="55" t="s">
        <v>512</v>
      </c>
      <c r="G384" s="2" t="s">
        <v>13</v>
      </c>
      <c r="H384" s="2">
        <f t="shared" si="5"/>
        <v>1</v>
      </c>
    </row>
    <row r="385" spans="1:8" x14ac:dyDescent="0.45">
      <c r="A385" s="55" t="s">
        <v>450</v>
      </c>
      <c r="B385" s="55"/>
      <c r="C385" s="55" t="s">
        <v>507</v>
      </c>
      <c r="D385" s="55" t="s">
        <v>508</v>
      </c>
      <c r="E385" s="55" t="s">
        <v>11</v>
      </c>
      <c r="F385" s="55" t="s">
        <v>513</v>
      </c>
      <c r="G385" s="2" t="s">
        <v>13</v>
      </c>
      <c r="H385" s="2">
        <f t="shared" si="5"/>
        <v>1</v>
      </c>
    </row>
    <row r="386" spans="1:8" x14ac:dyDescent="0.45">
      <c r="A386" s="55" t="s">
        <v>450</v>
      </c>
      <c r="B386" s="55"/>
      <c r="C386" s="55" t="s">
        <v>507</v>
      </c>
      <c r="D386" s="55" t="s">
        <v>508</v>
      </c>
      <c r="E386" s="55" t="s">
        <v>15</v>
      </c>
      <c r="F386" s="55" t="s">
        <v>514</v>
      </c>
      <c r="G386" s="2" t="s">
        <v>515</v>
      </c>
      <c r="H386" s="2" t="str">
        <f t="shared" ref="H386:H395" si="6">IF(G386="Y",1,IF(G386="N",0,""))</f>
        <v/>
      </c>
    </row>
    <row r="387" spans="1:8" x14ac:dyDescent="0.45">
      <c r="A387" s="55" t="s">
        <v>450</v>
      </c>
      <c r="B387" s="55"/>
      <c r="C387" s="55" t="s">
        <v>507</v>
      </c>
      <c r="D387" s="55" t="s">
        <v>508</v>
      </c>
      <c r="E387" s="55" t="s">
        <v>15</v>
      </c>
      <c r="F387" s="55" t="s">
        <v>516</v>
      </c>
      <c r="G387" s="2" t="s">
        <v>13</v>
      </c>
      <c r="H387" s="2">
        <f t="shared" si="6"/>
        <v>1</v>
      </c>
    </row>
    <row r="388" spans="1:8" x14ac:dyDescent="0.45">
      <c r="A388" s="55" t="s">
        <v>450</v>
      </c>
      <c r="B388" s="55"/>
      <c r="C388" s="55" t="s">
        <v>507</v>
      </c>
      <c r="D388" s="55" t="s">
        <v>508</v>
      </c>
      <c r="E388" s="55" t="s">
        <v>15</v>
      </c>
      <c r="F388" s="55" t="s">
        <v>517</v>
      </c>
      <c r="G388" s="2" t="s">
        <v>478</v>
      </c>
      <c r="H388" s="2">
        <f t="shared" si="6"/>
        <v>0</v>
      </c>
    </row>
    <row r="389" spans="1:8" x14ac:dyDescent="0.45">
      <c r="A389" s="55" t="s">
        <v>450</v>
      </c>
      <c r="B389" s="55"/>
      <c r="C389" s="55" t="s">
        <v>507</v>
      </c>
      <c r="D389" s="55" t="s">
        <v>508</v>
      </c>
      <c r="E389" s="55" t="s">
        <v>15</v>
      </c>
      <c r="F389" s="55" t="s">
        <v>518</v>
      </c>
      <c r="G389" s="2" t="s">
        <v>13</v>
      </c>
      <c r="H389" s="2">
        <f t="shared" si="6"/>
        <v>1</v>
      </c>
    </row>
    <row r="390" spans="1:8" x14ac:dyDescent="0.45">
      <c r="A390" s="55" t="s">
        <v>450</v>
      </c>
      <c r="B390" s="55"/>
      <c r="C390" s="55" t="s">
        <v>507</v>
      </c>
      <c r="D390" s="55" t="s">
        <v>508</v>
      </c>
      <c r="E390" s="55" t="s">
        <v>19</v>
      </c>
      <c r="F390" s="55" t="s">
        <v>519</v>
      </c>
      <c r="G390" s="2" t="s">
        <v>13</v>
      </c>
      <c r="H390" s="2">
        <f t="shared" si="6"/>
        <v>1</v>
      </c>
    </row>
    <row r="391" spans="1:8" x14ac:dyDescent="0.45">
      <c r="A391" s="55" t="s">
        <v>450</v>
      </c>
      <c r="B391" s="55"/>
      <c r="C391" s="55" t="s">
        <v>507</v>
      </c>
      <c r="D391" s="55" t="s">
        <v>508</v>
      </c>
      <c r="E391" s="55" t="s">
        <v>19</v>
      </c>
      <c r="F391" s="55" t="s">
        <v>520</v>
      </c>
      <c r="G391" s="2" t="s">
        <v>478</v>
      </c>
      <c r="H391" s="2">
        <f t="shared" si="6"/>
        <v>0</v>
      </c>
    </row>
    <row r="392" spans="1:8" x14ac:dyDescent="0.45">
      <c r="A392" s="55" t="s">
        <v>450</v>
      </c>
      <c r="B392" s="55"/>
      <c r="C392" s="55" t="s">
        <v>507</v>
      </c>
      <c r="D392" s="55" t="s">
        <v>508</v>
      </c>
      <c r="E392" s="55" t="s">
        <v>19</v>
      </c>
      <c r="F392" s="55" t="s">
        <v>521</v>
      </c>
      <c r="G392" s="2" t="s">
        <v>13</v>
      </c>
      <c r="H392" s="2">
        <f t="shared" si="6"/>
        <v>1</v>
      </c>
    </row>
    <row r="393" spans="1:8" x14ac:dyDescent="0.45">
      <c r="A393" s="55" t="s">
        <v>450</v>
      </c>
      <c r="B393" s="55"/>
      <c r="C393" s="55" t="s">
        <v>507</v>
      </c>
      <c r="D393" s="55" t="s">
        <v>508</v>
      </c>
      <c r="E393" s="55" t="s">
        <v>19</v>
      </c>
      <c r="F393" s="55" t="s">
        <v>522</v>
      </c>
      <c r="G393" s="2" t="s">
        <v>13</v>
      </c>
      <c r="H393" s="2">
        <f t="shared" si="6"/>
        <v>1</v>
      </c>
    </row>
    <row r="394" spans="1:8" x14ac:dyDescent="0.45">
      <c r="A394" s="55" t="s">
        <v>450</v>
      </c>
      <c r="B394" s="55"/>
      <c r="C394" s="55" t="s">
        <v>507</v>
      </c>
      <c r="D394" s="55" t="s">
        <v>508</v>
      </c>
      <c r="E394" s="55" t="s">
        <v>19</v>
      </c>
      <c r="F394" s="55" t="s">
        <v>523</v>
      </c>
      <c r="G394" s="2" t="s">
        <v>13</v>
      </c>
      <c r="H394" s="2">
        <f t="shared" si="6"/>
        <v>1</v>
      </c>
    </row>
    <row r="395" spans="1:8" x14ac:dyDescent="0.45">
      <c r="A395" s="55" t="s">
        <v>450</v>
      </c>
      <c r="B395" s="55"/>
      <c r="C395" s="55" t="s">
        <v>507</v>
      </c>
      <c r="D395" s="55" t="s">
        <v>508</v>
      </c>
      <c r="E395" s="55" t="s">
        <v>19</v>
      </c>
      <c r="F395" s="55" t="s">
        <v>524</v>
      </c>
      <c r="G395" s="2" t="s">
        <v>13</v>
      </c>
      <c r="H395" s="2">
        <f t="shared" si="6"/>
        <v>1</v>
      </c>
    </row>
  </sheetData>
  <phoneticPr fontId="1" type="noConversion"/>
  <dataValidations count="1">
    <dataValidation type="list" allowBlank="1" showInputMessage="1" showErrorMessage="1" sqref="G2:G395" xr:uid="{00000000-0002-0000-0000-000000000000}">
      <formula1>"Y,N,N-A"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I48"/>
  <sheetViews>
    <sheetView topLeftCell="A37" workbookViewId="0">
      <selection activeCell="C11" sqref="C11"/>
    </sheetView>
  </sheetViews>
  <sheetFormatPr defaultRowHeight="17" x14ac:dyDescent="0.45"/>
  <cols>
    <col min="1" max="1" width="24.4140625" customWidth="1"/>
    <col min="2" max="2" width="26.83203125" customWidth="1"/>
    <col min="3" max="3" width="42.33203125" customWidth="1"/>
    <col min="9" max="9" width="12.25" customWidth="1"/>
  </cols>
  <sheetData>
    <row r="1" spans="1:9" x14ac:dyDescent="0.45">
      <c r="A1" s="1" t="s">
        <v>0</v>
      </c>
      <c r="B1" s="1" t="s">
        <v>1</v>
      </c>
      <c r="C1" s="1" t="s">
        <v>2</v>
      </c>
      <c r="D1" s="1" t="s">
        <v>525</v>
      </c>
      <c r="E1" s="1" t="s">
        <v>526</v>
      </c>
      <c r="F1" s="1" t="s">
        <v>527</v>
      </c>
      <c r="G1" s="1" t="s">
        <v>528</v>
      </c>
      <c r="H1" s="1" t="s">
        <v>529</v>
      </c>
      <c r="I1" s="1" t="s">
        <v>534</v>
      </c>
    </row>
    <row r="2" spans="1:9" x14ac:dyDescent="0.45">
      <c r="A2" s="55" t="s">
        <v>7</v>
      </c>
      <c r="B2" s="55" t="s">
        <v>8</v>
      </c>
      <c r="C2" s="55" t="s">
        <v>9</v>
      </c>
      <c r="D2" s="55">
        <f>IF($B2="",COUNTIFS(Checklist!$A:$A,$A2,Checklist!$C:$C,$C2,Checklist!$E:$E,"초기",Checklist!$G:$G,"N"),COUNTIFS(Checklist!$A:$A,$A2,Checklist!$B:$B,$B2,Checklist!$C:$C,$C2,Checklist!$E:$E,"초기",Checklist!$G:$G,"N"))</f>
        <v>0</v>
      </c>
      <c r="E2" s="55">
        <f>IF($B2="",COUNTIFS(Checklist!$A:$A,$A2,Checklist!$C:$C,$C2,Checklist!$E:$E,"향상",Checklist!$G:$G,"Y"),COUNTIFS(Checklist!$A:$A,$A2,Checklist!$B:$B,$B2,Checklist!$C:$C,$C2,Checklist!$E:$E,"향상",Checklist!$G:$G,"Y"))</f>
        <v>0</v>
      </c>
      <c r="F2" s="55">
        <f>IF($B2="",COUNTIFS(Checklist!$A:$A,$A2,Checklist!$C:$C,$C2,Checklist!$E:$E,"향상",Checklist!$H:$H,"&lt;&gt;"),COUNTIFS(Checklist!$A:$A,$A2,Checklist!$B:$B,$B2,Checklist!$C:$C,$C2,Checklist!$E:$E,"향상",Checklist!$H:$H,"&lt;&gt;"))</f>
        <v>3</v>
      </c>
      <c r="G2" s="55">
        <f>IF($B2="",COUNTIFS(Checklist!$A:$A,$A2,Checklist!$C:$C,$C2,Checklist!$E:$E,"최적화",Checklist!$G:$G,"Y"),COUNTIFS(Checklist!$A:$A,$A2,Checklist!$B:$B,$B2,Checklist!$C:$C,$C2,Checklist!$E:$E,"최적화",Checklist!$G:$G,"Y"))</f>
        <v>0</v>
      </c>
      <c r="H2" s="55">
        <f>IF($B2="",COUNTIFS(Checklist!$A:$A,$A2,Checklist!$C:$C,$C2,Checklist!$E:$E,"최적화",Checklist!$H:$H,"&lt;&gt;"),COUNTIFS(Checklist!$A:$A,$A2,Checklist!$B:$B,$B2,Checklist!$C:$C,$C2,Checklist!$E:$E,"최적화",Checklist!$H:$H,"&lt;&gt;"))</f>
        <v>2</v>
      </c>
      <c r="I2" s="55">
        <f>IF(D2&gt;0,0,IF(AND(F2=0,H2=0),0.4,IF(AND(F2&gt;0,IF($B2="",COUNTIFS(Checklist!$A:$A,$A2,Checklist!$C:$C,$C2,Checklist!$E:$E,"향상",Checklist!$G:$G,"N"),COUNTIFS(Checklist!$A:$A,$A2,Checklist!$B:$B,$B2,Checklist!$C:$C,$C2,Checklist!$E:$E,"향상",Checklist!$G:$G,"N"))=0,H2&gt;0,IF($B2="",COUNTIFS(Checklist!$A:$A,$A2,Checklist!$C:$C,$C2,Checklist!$E:$E,"최적화",Checklist!$G:$G,"N"),COUNTIFS(Checklist!$A:$A,$A2,Checklist!$B:$B,$B2,Checklist!$C:$C,$C2,Checklist!$E:$E,"최적화",Checklist!$G:$G,"N"))=0),0.7+0.3*IF(H2=0,0,G2/H2),0.4+0.3*IF(F2=0,0,E2/F2))))</f>
        <v>0.4</v>
      </c>
    </row>
    <row r="3" spans="1:9" x14ac:dyDescent="0.45">
      <c r="A3" s="55" t="s">
        <v>7</v>
      </c>
      <c r="B3" s="55" t="s">
        <v>8</v>
      </c>
      <c r="C3" s="55" t="s">
        <v>22</v>
      </c>
      <c r="D3" s="55">
        <f>IF($B3="",COUNTIFS(Checklist!$A:$A,$A3,Checklist!$C:$C,$C3,Checklist!$E:$E,"초기",Checklist!$G:$G,"N"),COUNTIFS(Checklist!$A:$A,$A3,Checklist!$B:$B,$B3,Checklist!$C:$C,$C3,Checklist!$E:$E,"초기",Checklist!$G:$G,"N"))</f>
        <v>2</v>
      </c>
      <c r="E3" s="55">
        <f>IF($B3="",COUNTIFS(Checklist!$A:$A,$A3,Checklist!$C:$C,$C3,Checklist!$E:$E,"향상",Checklist!$G:$G,"Y"),COUNTIFS(Checklist!$A:$A,$A3,Checklist!$B:$B,$B3,Checklist!$C:$C,$C3,Checklist!$E:$E,"향상",Checklist!$G:$G,"Y"))</f>
        <v>0</v>
      </c>
      <c r="F3" s="55">
        <f>IF($B3="",COUNTIFS(Checklist!$A:$A,$A3,Checklist!$C:$C,$C3,Checklist!$E:$E,"향상",Checklist!$H:$H,"&lt;&gt;"),COUNTIFS(Checklist!$A:$A,$A3,Checklist!$B:$B,$B3,Checklist!$C:$C,$C3,Checklist!$E:$E,"향상",Checklist!$H:$H,"&lt;&gt;"))</f>
        <v>2</v>
      </c>
      <c r="G3" s="55">
        <f>IF($B3="",COUNTIFS(Checklist!$A:$A,$A3,Checklist!$C:$C,$C3,Checklist!$E:$E,"최적화",Checklist!$G:$G,"Y"),COUNTIFS(Checklist!$A:$A,$A3,Checklist!$B:$B,$B3,Checklist!$C:$C,$C3,Checklist!$E:$E,"최적화",Checklist!$G:$G,"Y"))</f>
        <v>0</v>
      </c>
      <c r="H3" s="55">
        <f>IF($B3="",COUNTIFS(Checklist!$A:$A,$A3,Checklist!$C:$C,$C3,Checklist!$E:$E,"최적화",Checklist!$H:$H,"&lt;&gt;"),COUNTIFS(Checklist!$A:$A,$A3,Checklist!$B:$B,$B3,Checklist!$C:$C,$C3,Checklist!$E:$E,"최적화",Checklist!$H:$H,"&lt;&gt;"))</f>
        <v>2</v>
      </c>
      <c r="I3" s="55">
        <f>IF(D3&gt;0,0,IF(AND(F3=0,H3=0),0.4,IF(AND(F3&gt;0,IF($B3="",COUNTIFS(Checklist!$A:$A,$A3,Checklist!$C:$C,$C3,Checklist!$E:$E,"향상",Checklist!$G:$G,"N"),COUNTIFS(Checklist!$A:$A,$A3,Checklist!$B:$B,$B3,Checklist!$C:$C,$C3,Checklist!$E:$E,"향상",Checklist!$G:$G,"N"))=0,H3&gt;0,IF($B3="",COUNTIFS(Checklist!$A:$A,$A3,Checklist!$C:$C,$C3,Checklist!$E:$E,"최적화",Checklist!$G:$G,"N"),COUNTIFS(Checklist!$A:$A,$A3,Checklist!$B:$B,$B3,Checklist!$C:$C,$C3,Checklist!$E:$E,"최적화",Checklist!$G:$G,"N"))=0),0.7+0.3*IF(H3=0,0,G3/H3),0.4+0.3*IF(F3=0,0,E3/F3))))</f>
        <v>0</v>
      </c>
    </row>
    <row r="4" spans="1:9" x14ac:dyDescent="0.45">
      <c r="A4" s="55" t="s">
        <v>7</v>
      </c>
      <c r="B4" s="55" t="s">
        <v>30</v>
      </c>
      <c r="C4" s="55" t="s">
        <v>31</v>
      </c>
      <c r="D4" s="55">
        <f>IF($B4="",COUNTIFS(Checklist!$A:$A,$A4,Checklist!$C:$C,$C4,Checklist!$E:$E,"초기",Checklist!$G:$G,"N"),COUNTIFS(Checklist!$A:$A,$A4,Checklist!$B:$B,$B4,Checklist!$C:$C,$C4,Checklist!$E:$E,"초기",Checklist!$G:$G,"N"))</f>
        <v>3</v>
      </c>
      <c r="E4" s="55">
        <f>IF($B4="",COUNTIFS(Checklist!$A:$A,$A4,Checklist!$C:$C,$C4,Checklist!$E:$E,"향상",Checklist!$G:$G,"Y"),COUNTIFS(Checklist!$A:$A,$A4,Checklist!$B:$B,$B4,Checklist!$C:$C,$C4,Checklist!$E:$E,"향상",Checklist!$G:$G,"Y"))</f>
        <v>1</v>
      </c>
      <c r="F4" s="55">
        <f>IF($B4="",COUNTIFS(Checklist!$A:$A,$A4,Checklist!$C:$C,$C4,Checklist!$E:$E,"향상",Checklist!$H:$H,"&lt;&gt;"),COUNTIFS(Checklist!$A:$A,$A4,Checklist!$B:$B,$B4,Checklist!$C:$C,$C4,Checklist!$E:$E,"향상",Checklist!$H:$H,"&lt;&gt;"))</f>
        <v>3</v>
      </c>
      <c r="G4" s="55">
        <f>IF($B4="",COUNTIFS(Checklist!$A:$A,$A4,Checklist!$C:$C,$C4,Checklist!$E:$E,"최적화",Checklist!$G:$G,"Y"),COUNTIFS(Checklist!$A:$A,$A4,Checklist!$B:$B,$B4,Checklist!$C:$C,$C4,Checklist!$E:$E,"최적화",Checklist!$G:$G,"Y"))</f>
        <v>3</v>
      </c>
      <c r="H4" s="55">
        <f>IF($B4="",COUNTIFS(Checklist!$A:$A,$A4,Checklist!$C:$C,$C4,Checklist!$E:$E,"최적화",Checklist!$H:$H,"&lt;&gt;"),COUNTIFS(Checklist!$A:$A,$A4,Checklist!$B:$B,$B4,Checklist!$C:$C,$C4,Checklist!$E:$E,"최적화",Checklist!$H:$H,"&lt;&gt;"))</f>
        <v>3</v>
      </c>
      <c r="I4" s="55">
        <f>IF(D4&gt;0,0,IF(AND(F4=0,H4=0),0.4,IF(AND(F4&gt;0,IF($B4="",COUNTIFS(Checklist!$A:$A,$A4,Checklist!$C:$C,$C4,Checklist!$E:$E,"향상",Checklist!$G:$G,"N"),COUNTIFS(Checklist!$A:$A,$A4,Checklist!$B:$B,$B4,Checklist!$C:$C,$C4,Checklist!$E:$E,"향상",Checklist!$G:$G,"N"))=0,H4&gt;0,IF($B4="",COUNTIFS(Checklist!$A:$A,$A4,Checklist!$C:$C,$C4,Checklist!$E:$E,"최적화",Checklist!$G:$G,"N"),COUNTIFS(Checklist!$A:$A,$A4,Checklist!$B:$B,$B4,Checklist!$C:$C,$C4,Checklist!$E:$E,"최적화",Checklist!$G:$G,"N"))=0),0.7+0.3*IF(H4=0,0,G4/H4),0.4+0.3*IF(F4=0,0,E4/F4))))</f>
        <v>0</v>
      </c>
    </row>
    <row r="5" spans="1:9" x14ac:dyDescent="0.45">
      <c r="A5" s="55" t="s">
        <v>7</v>
      </c>
      <c r="B5" s="55" t="s">
        <v>30</v>
      </c>
      <c r="C5" s="55" t="s">
        <v>42</v>
      </c>
      <c r="D5" s="55">
        <f>IF($B5="",COUNTIFS(Checklist!$A:$A,$A5,Checklist!$C:$C,$C5,Checklist!$E:$E,"초기",Checklist!$G:$G,"N"),COUNTIFS(Checklist!$A:$A,$A5,Checklist!$B:$B,$B5,Checklist!$C:$C,$C5,Checklist!$E:$E,"초기",Checklist!$G:$G,"N"))</f>
        <v>0</v>
      </c>
      <c r="E5" s="55">
        <f>IF($B5="",COUNTIFS(Checklist!$A:$A,$A5,Checklist!$C:$C,$C5,Checklist!$E:$E,"향상",Checklist!$G:$G,"Y"),COUNTIFS(Checklist!$A:$A,$A5,Checklist!$B:$B,$B5,Checklist!$C:$C,$C5,Checklist!$E:$E,"향상",Checklist!$G:$G,"Y"))</f>
        <v>2</v>
      </c>
      <c r="F5" s="55">
        <f>IF($B5="",COUNTIFS(Checklist!$A:$A,$A5,Checklist!$C:$C,$C5,Checklist!$E:$E,"향상",Checklist!$H:$H,"&lt;&gt;"),COUNTIFS(Checklist!$A:$A,$A5,Checklist!$B:$B,$B5,Checklist!$C:$C,$C5,Checklist!$E:$E,"향상",Checklist!$H:$H,"&lt;&gt;"))</f>
        <v>2</v>
      </c>
      <c r="G5" s="55">
        <f>IF($B5="",COUNTIFS(Checklist!$A:$A,$A5,Checklist!$C:$C,$C5,Checklist!$E:$E,"최적화",Checklist!$G:$G,"Y"),COUNTIFS(Checklist!$A:$A,$A5,Checklist!$B:$B,$B5,Checklist!$C:$C,$C5,Checklist!$E:$E,"최적화",Checklist!$G:$G,"Y"))</f>
        <v>1</v>
      </c>
      <c r="H5" s="55">
        <f>IF($B5="",COUNTIFS(Checklist!$A:$A,$A5,Checklist!$C:$C,$C5,Checklist!$E:$E,"최적화",Checklist!$H:$H,"&lt;&gt;"),COUNTIFS(Checklist!$A:$A,$A5,Checklist!$B:$B,$B5,Checklist!$C:$C,$C5,Checklist!$E:$E,"최적화",Checklist!$H:$H,"&lt;&gt;"))</f>
        <v>1</v>
      </c>
      <c r="I5" s="55">
        <f>IF(D5&gt;0,0,IF(AND(F5=0,H5=0),0.4,IF(AND(F5&gt;0,IF($B5="",COUNTIFS(Checklist!$A:$A,$A5,Checklist!$C:$C,$C5,Checklist!$E:$E,"향상",Checklist!$G:$G,"N"),COUNTIFS(Checklist!$A:$A,$A5,Checklist!$B:$B,$B5,Checklist!$C:$C,$C5,Checklist!$E:$E,"향상",Checklist!$G:$G,"N"))=0,H5&gt;0,IF($B5="",COUNTIFS(Checklist!$A:$A,$A5,Checklist!$C:$C,$C5,Checklist!$E:$E,"최적화",Checklist!$G:$G,"N"),COUNTIFS(Checklist!$A:$A,$A5,Checklist!$B:$B,$B5,Checklist!$C:$C,$C5,Checklist!$E:$E,"최적화",Checklist!$G:$G,"N"))=0),0.7+0.3*IF(H5=0,0,G5/H5),0.4+0.3*IF(F5=0,0,E5/F5))))</f>
        <v>1</v>
      </c>
    </row>
    <row r="6" spans="1:9" x14ac:dyDescent="0.45">
      <c r="A6" s="55" t="s">
        <v>7</v>
      </c>
      <c r="B6" s="55" t="s">
        <v>49</v>
      </c>
      <c r="C6" s="55" t="s">
        <v>50</v>
      </c>
      <c r="D6" s="55">
        <f>IF($B6="",COUNTIFS(Checklist!$A:$A,$A6,Checklist!$C:$C,$C6,Checklist!$E:$E,"초기",Checklist!$G:$G,"N"),COUNTIFS(Checklist!$A:$A,$A6,Checklist!$B:$B,$B6,Checklist!$C:$C,$C6,Checklist!$E:$E,"초기",Checklist!$G:$G,"N"))</f>
        <v>0</v>
      </c>
      <c r="E6" s="55">
        <f>IF($B6="",COUNTIFS(Checklist!$A:$A,$A6,Checklist!$C:$C,$C6,Checklist!$E:$E,"향상",Checklist!$G:$G,"Y"),COUNTIFS(Checklist!$A:$A,$A6,Checklist!$B:$B,$B6,Checklist!$C:$C,$C6,Checklist!$E:$E,"향상",Checklist!$G:$G,"Y"))</f>
        <v>3</v>
      </c>
      <c r="F6" s="55">
        <f>IF($B6="",COUNTIFS(Checklist!$A:$A,$A6,Checklist!$C:$C,$C6,Checklist!$E:$E,"향상",Checklist!$H:$H,"&lt;&gt;"),COUNTIFS(Checklist!$A:$A,$A6,Checklist!$B:$B,$B6,Checklist!$C:$C,$C6,Checklist!$E:$E,"향상",Checklist!$H:$H,"&lt;&gt;"))</f>
        <v>3</v>
      </c>
      <c r="G6" s="55">
        <f>IF($B6="",COUNTIFS(Checklist!$A:$A,$A6,Checklist!$C:$C,$C6,Checklist!$E:$E,"최적화",Checklist!$G:$G,"Y"),COUNTIFS(Checklist!$A:$A,$A6,Checklist!$B:$B,$B6,Checklist!$C:$C,$C6,Checklist!$E:$E,"최적화",Checklist!$G:$G,"Y"))</f>
        <v>3</v>
      </c>
      <c r="H6" s="55">
        <f>IF($B6="",COUNTIFS(Checklist!$A:$A,$A6,Checklist!$C:$C,$C6,Checklist!$E:$E,"최적화",Checklist!$H:$H,"&lt;&gt;"),COUNTIFS(Checklist!$A:$A,$A6,Checklist!$B:$B,$B6,Checklist!$C:$C,$C6,Checklist!$E:$E,"최적화",Checklist!$H:$H,"&lt;&gt;"))</f>
        <v>3</v>
      </c>
      <c r="I6" s="55">
        <f>IF(D6&gt;0,0,IF(AND(F6=0,H6=0),0.4,IF(AND(F6&gt;0,IF($B6="",COUNTIFS(Checklist!$A:$A,$A6,Checklist!$C:$C,$C6,Checklist!$E:$E,"향상",Checklist!$G:$G,"N"),COUNTIFS(Checklist!$A:$A,$A6,Checklist!$B:$B,$B6,Checklist!$C:$C,$C6,Checklist!$E:$E,"향상",Checklist!$G:$G,"N"))=0,H6&gt;0,IF($B6="",COUNTIFS(Checklist!$A:$A,$A6,Checklist!$C:$C,$C6,Checklist!$E:$E,"최적화",Checklist!$G:$G,"N"),COUNTIFS(Checklist!$A:$A,$A6,Checklist!$B:$B,$B6,Checklist!$C:$C,$C6,Checklist!$E:$E,"최적화",Checklist!$G:$G,"N"))=0),0.7+0.3*IF(H6=0,0,G6/H6),0.4+0.3*IF(F6=0,0,E6/F6))))</f>
        <v>1</v>
      </c>
    </row>
    <row r="7" spans="1:9" x14ac:dyDescent="0.45">
      <c r="A7" s="55" t="s">
        <v>7</v>
      </c>
      <c r="B7" s="55" t="s">
        <v>49</v>
      </c>
      <c r="C7" s="55" t="s">
        <v>61</v>
      </c>
      <c r="D7" s="55">
        <f>IF($B7="",COUNTIFS(Checklist!$A:$A,$A7,Checklist!$C:$C,$C7,Checklist!$E:$E,"초기",Checklist!$G:$G,"N"),COUNTIFS(Checklist!$A:$A,$A7,Checklist!$B:$B,$B7,Checklist!$C:$C,$C7,Checklist!$E:$E,"초기",Checklist!$G:$G,"N"))</f>
        <v>0</v>
      </c>
      <c r="E7" s="55">
        <f>IF($B7="",COUNTIFS(Checklist!$A:$A,$A7,Checklist!$C:$C,$C7,Checklist!$E:$E,"향상",Checklist!$G:$G,"Y"),COUNTIFS(Checklist!$A:$A,$A7,Checklist!$B:$B,$B7,Checklist!$C:$C,$C7,Checklist!$E:$E,"향상",Checklist!$G:$G,"Y"))</f>
        <v>2</v>
      </c>
      <c r="F7" s="55">
        <f>IF($B7="",COUNTIFS(Checklist!$A:$A,$A7,Checklist!$C:$C,$C7,Checklist!$E:$E,"향상",Checklist!$H:$H,"&lt;&gt;"),COUNTIFS(Checklist!$A:$A,$A7,Checklist!$B:$B,$B7,Checklist!$C:$C,$C7,Checklist!$E:$E,"향상",Checklist!$H:$H,"&lt;&gt;"))</f>
        <v>2</v>
      </c>
      <c r="G7" s="55">
        <f>IF($B7="",COUNTIFS(Checklist!$A:$A,$A7,Checklist!$C:$C,$C7,Checklist!$E:$E,"최적화",Checklist!$G:$G,"Y"),COUNTIFS(Checklist!$A:$A,$A7,Checklist!$B:$B,$B7,Checklist!$C:$C,$C7,Checklist!$E:$E,"최적화",Checklist!$G:$G,"Y"))</f>
        <v>2</v>
      </c>
      <c r="H7" s="55">
        <f>IF($B7="",COUNTIFS(Checklist!$A:$A,$A7,Checklist!$C:$C,$C7,Checklist!$E:$E,"최적화",Checklist!$H:$H,"&lt;&gt;"),COUNTIFS(Checklist!$A:$A,$A7,Checklist!$B:$B,$B7,Checklist!$C:$C,$C7,Checklist!$E:$E,"최적화",Checklist!$H:$H,"&lt;&gt;"))</f>
        <v>2</v>
      </c>
      <c r="I7" s="55">
        <f>IF(D7&gt;0,0,IF(AND(F7=0,H7=0),0.4,IF(AND(F7&gt;0,IF($B7="",COUNTIFS(Checklist!$A:$A,$A7,Checklist!$C:$C,$C7,Checklist!$E:$E,"향상",Checklist!$G:$G,"N"),COUNTIFS(Checklist!$A:$A,$A7,Checklist!$B:$B,$B7,Checklist!$C:$C,$C7,Checklist!$E:$E,"향상",Checklist!$G:$G,"N"))=0,H7&gt;0,IF($B7="",COUNTIFS(Checklist!$A:$A,$A7,Checklist!$C:$C,$C7,Checklist!$E:$E,"최적화",Checklist!$G:$G,"N"),COUNTIFS(Checklist!$A:$A,$A7,Checklist!$B:$B,$B7,Checklist!$C:$C,$C7,Checklist!$E:$E,"최적화",Checklist!$G:$G,"N"))=0),0.7+0.3*IF(H7=0,0,G7/H7),0.4+0.3*IF(F7=0,0,E7/F7))))</f>
        <v>1</v>
      </c>
    </row>
    <row r="8" spans="1:9" x14ac:dyDescent="0.45">
      <c r="A8" s="55" t="s">
        <v>7</v>
      </c>
      <c r="B8" s="55" t="s">
        <v>69</v>
      </c>
      <c r="C8" s="55" t="s">
        <v>70</v>
      </c>
      <c r="D8" s="55">
        <f>IF($B8="",COUNTIFS(Checklist!$A:$A,$A8,Checklist!$C:$C,$C8,Checklist!$E:$E,"초기",Checklist!$G:$G,"N"),COUNTIFS(Checklist!$A:$A,$A8,Checklist!$B:$B,$B8,Checklist!$C:$C,$C8,Checklist!$E:$E,"초기",Checklist!$G:$G,"N"))</f>
        <v>0</v>
      </c>
      <c r="E8" s="55">
        <f>IF($B8="",COUNTIFS(Checklist!$A:$A,$A8,Checklist!$C:$C,$C8,Checklist!$E:$E,"향상",Checklist!$G:$G,"Y"),COUNTIFS(Checklist!$A:$A,$A8,Checklist!$B:$B,$B8,Checklist!$C:$C,$C8,Checklist!$E:$E,"향상",Checklist!$G:$G,"Y"))</f>
        <v>3</v>
      </c>
      <c r="F8" s="55">
        <f>IF($B8="",COUNTIFS(Checklist!$A:$A,$A8,Checklist!$C:$C,$C8,Checklist!$E:$E,"향상",Checklist!$H:$H,"&lt;&gt;"),COUNTIFS(Checklist!$A:$A,$A8,Checklist!$B:$B,$B8,Checklist!$C:$C,$C8,Checklist!$E:$E,"향상",Checklist!$H:$H,"&lt;&gt;"))</f>
        <v>3</v>
      </c>
      <c r="G8" s="55">
        <f>IF($B8="",COUNTIFS(Checklist!$A:$A,$A8,Checklist!$C:$C,$C8,Checklist!$E:$E,"최적화",Checklist!$G:$G,"Y"),COUNTIFS(Checklist!$A:$A,$A8,Checklist!$B:$B,$B8,Checklist!$C:$C,$C8,Checklist!$E:$E,"최적화",Checklist!$G:$G,"Y"))</f>
        <v>2</v>
      </c>
      <c r="H8" s="55">
        <f>IF($B8="",COUNTIFS(Checklist!$A:$A,$A8,Checklist!$C:$C,$C8,Checklist!$E:$E,"최적화",Checklist!$H:$H,"&lt;&gt;"),COUNTIFS(Checklist!$A:$A,$A8,Checklist!$B:$B,$B8,Checklist!$C:$C,$C8,Checklist!$E:$E,"최적화",Checklist!$H:$H,"&lt;&gt;"))</f>
        <v>2</v>
      </c>
      <c r="I8" s="55">
        <f>IF(D8&gt;0,0,IF(AND(F8=0,H8=0),0.4,IF(AND(F8&gt;0,IF($B8="",COUNTIFS(Checklist!$A:$A,$A8,Checklist!$C:$C,$C8,Checklist!$E:$E,"향상",Checklist!$G:$G,"N"),COUNTIFS(Checklist!$A:$A,$A8,Checklist!$B:$B,$B8,Checklist!$C:$C,$C8,Checklist!$E:$E,"향상",Checklist!$G:$G,"N"))=0,H8&gt;0,IF($B8="",COUNTIFS(Checklist!$A:$A,$A8,Checklist!$C:$C,$C8,Checklist!$E:$E,"최적화",Checklist!$G:$G,"N"),COUNTIFS(Checklist!$A:$A,$A8,Checklist!$B:$B,$B8,Checklist!$C:$C,$C8,Checklist!$E:$E,"최적화",Checklist!$G:$G,"N"))=0),0.7+0.3*IF(H8=0,0,G8/H8),0.4+0.3*IF(F8=0,0,E8/F8))))</f>
        <v>1</v>
      </c>
    </row>
    <row r="9" spans="1:9" x14ac:dyDescent="0.45">
      <c r="A9" s="55" t="s">
        <v>7</v>
      </c>
      <c r="B9" s="55" t="s">
        <v>69</v>
      </c>
      <c r="C9" s="55" t="s">
        <v>79</v>
      </c>
      <c r="D9" s="55">
        <f>IF($B9="",COUNTIFS(Checklist!$A:$A,$A9,Checklist!$C:$C,$C9,Checklist!$E:$E,"초기",Checklist!$G:$G,"N"),COUNTIFS(Checklist!$A:$A,$A9,Checklist!$B:$B,$B9,Checklist!$C:$C,$C9,Checklist!$E:$E,"초기",Checklist!$G:$G,"N"))</f>
        <v>0</v>
      </c>
      <c r="E9" s="55">
        <f>IF($B9="",COUNTIFS(Checklist!$A:$A,$A9,Checklist!$C:$C,$C9,Checklist!$E:$E,"향상",Checklist!$G:$G,"Y"),COUNTIFS(Checklist!$A:$A,$A9,Checklist!$B:$B,$B9,Checklist!$C:$C,$C9,Checklist!$E:$E,"향상",Checklist!$G:$G,"Y"))</f>
        <v>2</v>
      </c>
      <c r="F9" s="55">
        <f>IF($B9="",COUNTIFS(Checklist!$A:$A,$A9,Checklist!$C:$C,$C9,Checklist!$E:$E,"향상",Checklist!$H:$H,"&lt;&gt;"),COUNTIFS(Checklist!$A:$A,$A9,Checklist!$B:$B,$B9,Checklist!$C:$C,$C9,Checklist!$E:$E,"향상",Checklist!$H:$H,"&lt;&gt;"))</f>
        <v>2</v>
      </c>
      <c r="G9" s="55">
        <f>IF($B9="",COUNTIFS(Checklist!$A:$A,$A9,Checklist!$C:$C,$C9,Checklist!$E:$E,"최적화",Checklist!$G:$G,"Y"),COUNTIFS(Checklist!$A:$A,$A9,Checklist!$B:$B,$B9,Checklist!$C:$C,$C9,Checklist!$E:$E,"최적화",Checklist!$G:$G,"Y"))</f>
        <v>2</v>
      </c>
      <c r="H9" s="55">
        <f>IF($B9="",COUNTIFS(Checklist!$A:$A,$A9,Checklist!$C:$C,$C9,Checklist!$E:$E,"최적화",Checklist!$H:$H,"&lt;&gt;"),COUNTIFS(Checklist!$A:$A,$A9,Checklist!$B:$B,$B9,Checklist!$C:$C,$C9,Checklist!$E:$E,"최적화",Checklist!$H:$H,"&lt;&gt;"))</f>
        <v>2</v>
      </c>
      <c r="I9" s="55">
        <f>IF(D9&gt;0,0,IF(AND(F9=0,H9=0),0.4,IF(AND(F9&gt;0,IF($B9="",COUNTIFS(Checklist!$A:$A,$A9,Checklist!$C:$C,$C9,Checklist!$E:$E,"향상",Checklist!$G:$G,"N"),COUNTIFS(Checklist!$A:$A,$A9,Checklist!$B:$B,$B9,Checklist!$C:$C,$C9,Checklist!$E:$E,"향상",Checklist!$G:$G,"N"))=0,H9&gt;0,IF($B9="",COUNTIFS(Checklist!$A:$A,$A9,Checklist!$C:$C,$C9,Checklist!$E:$E,"최적화",Checklist!$G:$G,"N"),COUNTIFS(Checklist!$A:$A,$A9,Checklist!$B:$B,$B9,Checklist!$C:$C,$C9,Checklist!$E:$E,"최적화",Checklist!$G:$G,"N"))=0),0.7+0.3*IF(H9=0,0,G9/H9),0.4+0.3*IF(F9=0,0,E9/F9))))</f>
        <v>1</v>
      </c>
    </row>
    <row r="10" spans="1:9" x14ac:dyDescent="0.45">
      <c r="A10" s="55" t="s">
        <v>87</v>
      </c>
      <c r="B10" s="55" t="s">
        <v>88</v>
      </c>
      <c r="C10" s="55" t="s">
        <v>89</v>
      </c>
      <c r="D10" s="55">
        <f>IF($B10="",COUNTIFS(Checklist!$A:$A,$A10,Checklist!$C:$C,$C10,Checklist!$E:$E,"초기",Checklist!$G:$G,"N"),COUNTIFS(Checklist!$A:$A,$A10,Checklist!$B:$B,$B10,Checklist!$C:$C,$C10,Checklist!$E:$E,"초기",Checklist!$G:$G,"N"))</f>
        <v>0</v>
      </c>
      <c r="E10" s="55">
        <f>IF($B10="",COUNTIFS(Checklist!$A:$A,$A10,Checklist!$C:$C,$C10,Checklist!$E:$E,"향상",Checklist!$G:$G,"Y"),COUNTIFS(Checklist!$A:$A,$A10,Checklist!$B:$B,$B10,Checklist!$C:$C,$C10,Checklist!$E:$E,"향상",Checklist!$G:$G,"Y"))</f>
        <v>3</v>
      </c>
      <c r="F10" s="55">
        <f>IF($B10="",COUNTIFS(Checklist!$A:$A,$A10,Checklist!$C:$C,$C10,Checklist!$E:$E,"향상",Checklist!$H:$H,"&lt;&gt;"),COUNTIFS(Checklist!$A:$A,$A10,Checklist!$B:$B,$B10,Checklist!$C:$C,$C10,Checklist!$E:$E,"향상",Checklist!$H:$H,"&lt;&gt;"))</f>
        <v>3</v>
      </c>
      <c r="G10" s="55">
        <f>IF($B10="",COUNTIFS(Checklist!$A:$A,$A10,Checklist!$C:$C,$C10,Checklist!$E:$E,"최적화",Checklist!$G:$G,"Y"),COUNTIFS(Checklist!$A:$A,$A10,Checklist!$B:$B,$B10,Checklist!$C:$C,$C10,Checklist!$E:$E,"최적화",Checklist!$G:$G,"Y"))</f>
        <v>3</v>
      </c>
      <c r="H10" s="55">
        <f>IF($B10="",COUNTIFS(Checklist!$A:$A,$A10,Checklist!$C:$C,$C10,Checklist!$E:$E,"최적화",Checklist!$H:$H,"&lt;&gt;"),COUNTIFS(Checklist!$A:$A,$A10,Checklist!$B:$B,$B10,Checklist!$C:$C,$C10,Checklist!$E:$E,"최적화",Checklist!$H:$H,"&lt;&gt;"))</f>
        <v>3</v>
      </c>
      <c r="I10" s="55">
        <f>IF(D10&gt;0,0,IF(AND(F10=0,H10=0),0.4,IF(AND(F10&gt;0,IF($B10="",COUNTIFS(Checklist!$A:$A,$A10,Checklist!$C:$C,$C10,Checklist!$E:$E,"향상",Checklist!$G:$G,"N"),COUNTIFS(Checklist!$A:$A,$A10,Checklist!$B:$B,$B10,Checklist!$C:$C,$C10,Checklist!$E:$E,"향상",Checklist!$G:$G,"N"))=0,H10&gt;0,IF($B10="",COUNTIFS(Checklist!$A:$A,$A10,Checklist!$C:$C,$C10,Checklist!$E:$E,"최적화",Checklist!$G:$G,"N"),COUNTIFS(Checklist!$A:$A,$A10,Checklist!$B:$B,$B10,Checklist!$C:$C,$C10,Checklist!$E:$E,"최적화",Checklist!$G:$G,"N"))=0),0.7+0.3*IF(H10=0,0,G10/H10),0.4+0.3*IF(F10=0,0,E10/F10))))</f>
        <v>1</v>
      </c>
    </row>
    <row r="11" spans="1:9" x14ac:dyDescent="0.45">
      <c r="A11" s="55" t="s">
        <v>87</v>
      </c>
      <c r="B11" s="55" t="s">
        <v>99</v>
      </c>
      <c r="C11" s="55" t="s">
        <v>100</v>
      </c>
      <c r="D11" s="55">
        <f>IF($B11="",COUNTIFS(Checklist!$A:$A,$A11,Checklist!$C:$C,$C11,Checklist!$E:$E,"초기",Checklist!$G:$G,"N"),COUNTIFS(Checklist!$A:$A,$A11,Checklist!$B:$B,$B11,Checklist!$C:$C,$C11,Checklist!$E:$E,"초기",Checklist!$G:$G,"N"))</f>
        <v>0</v>
      </c>
      <c r="E11" s="55">
        <f>IF($B11="",COUNTIFS(Checklist!$A:$A,$A11,Checklist!$C:$C,$C11,Checklist!$E:$E,"향상",Checklist!$G:$G,"Y"),COUNTIFS(Checklist!$A:$A,$A11,Checklist!$B:$B,$B11,Checklist!$C:$C,$C11,Checklist!$E:$E,"향상",Checklist!$G:$G,"Y"))</f>
        <v>3</v>
      </c>
      <c r="F11" s="55">
        <f>IF($B11="",COUNTIFS(Checklist!$A:$A,$A11,Checklist!$C:$C,$C11,Checklist!$E:$E,"향상",Checklist!$H:$H,"&lt;&gt;"),COUNTIFS(Checklist!$A:$A,$A11,Checklist!$B:$B,$B11,Checklist!$C:$C,$C11,Checklist!$E:$E,"향상",Checklist!$H:$H,"&lt;&gt;"))</f>
        <v>3</v>
      </c>
      <c r="G11" s="55">
        <f>IF($B11="",COUNTIFS(Checklist!$A:$A,$A11,Checklist!$C:$C,$C11,Checklist!$E:$E,"최적화",Checklist!$G:$G,"Y"),COUNTIFS(Checklist!$A:$A,$A11,Checklist!$B:$B,$B11,Checklist!$C:$C,$C11,Checklist!$E:$E,"최적화",Checklist!$G:$G,"Y"))</f>
        <v>4</v>
      </c>
      <c r="H11" s="55">
        <f>IF($B11="",COUNTIFS(Checklist!$A:$A,$A11,Checklist!$C:$C,$C11,Checklist!$E:$E,"최적화",Checklist!$H:$H,"&lt;&gt;"),COUNTIFS(Checklist!$A:$A,$A11,Checklist!$B:$B,$B11,Checklist!$C:$C,$C11,Checklist!$E:$E,"최적화",Checklist!$H:$H,"&lt;&gt;"))</f>
        <v>4</v>
      </c>
      <c r="I11" s="55">
        <f>IF(D11&gt;0,0,IF(AND(F11=0,H11=0),0.4,IF(AND(F11&gt;0,IF($B11="",COUNTIFS(Checklist!$A:$A,$A11,Checklist!$C:$C,$C11,Checklist!$E:$E,"향상",Checklist!$G:$G,"N"),COUNTIFS(Checklist!$A:$A,$A11,Checklist!$B:$B,$B11,Checklist!$C:$C,$C11,Checklist!$E:$E,"향상",Checklist!$G:$G,"N"))=0,H11&gt;0,IF($B11="",COUNTIFS(Checklist!$A:$A,$A11,Checklist!$C:$C,$C11,Checklist!$E:$E,"최적화",Checklist!$G:$G,"N"),COUNTIFS(Checklist!$A:$A,$A11,Checklist!$B:$B,$B11,Checklist!$C:$C,$C11,Checklist!$E:$E,"최적화",Checklist!$G:$G,"N"))=0),0.7+0.3*IF(H11=0,0,G11/H11),0.4+0.3*IF(F11=0,0,E11/F11))))</f>
        <v>1</v>
      </c>
    </row>
    <row r="12" spans="1:9" x14ac:dyDescent="0.45">
      <c r="A12" s="55" t="s">
        <v>87</v>
      </c>
      <c r="B12" s="55" t="s">
        <v>110</v>
      </c>
      <c r="C12" s="55" t="s">
        <v>111</v>
      </c>
      <c r="D12" s="55">
        <f>IF($B12="",COUNTIFS(Checklist!$A:$A,$A12,Checklist!$C:$C,$C12,Checklist!$E:$E,"초기",Checklist!$G:$G,"N"),COUNTIFS(Checklist!$A:$A,$A12,Checklist!$B:$B,$B12,Checklist!$C:$C,$C12,Checklist!$E:$E,"초기",Checklist!$G:$G,"N"))</f>
        <v>0</v>
      </c>
      <c r="E12" s="55">
        <f>IF($B12="",COUNTIFS(Checklist!$A:$A,$A12,Checklist!$C:$C,$C12,Checklist!$E:$E,"향상",Checklist!$G:$G,"Y"),COUNTIFS(Checklist!$A:$A,$A12,Checklist!$B:$B,$B12,Checklist!$C:$C,$C12,Checklist!$E:$E,"향상",Checklist!$G:$G,"Y"))</f>
        <v>3</v>
      </c>
      <c r="F12" s="55">
        <f>IF($B12="",COUNTIFS(Checklist!$A:$A,$A12,Checklist!$C:$C,$C12,Checklist!$E:$E,"향상",Checklist!$H:$H,"&lt;&gt;"),COUNTIFS(Checklist!$A:$A,$A12,Checklist!$B:$B,$B12,Checklist!$C:$C,$C12,Checklist!$E:$E,"향상",Checklist!$H:$H,"&lt;&gt;"))</f>
        <v>3</v>
      </c>
      <c r="G12" s="55">
        <f>IF($B12="",COUNTIFS(Checklist!$A:$A,$A12,Checklist!$C:$C,$C12,Checklist!$E:$E,"최적화",Checklist!$G:$G,"Y"),COUNTIFS(Checklist!$A:$A,$A12,Checklist!$B:$B,$B12,Checklist!$C:$C,$C12,Checklist!$E:$E,"최적화",Checklist!$G:$G,"Y"))</f>
        <v>2</v>
      </c>
      <c r="H12" s="55">
        <f>IF($B12="",COUNTIFS(Checklist!$A:$A,$A12,Checklist!$C:$C,$C12,Checklist!$E:$E,"최적화",Checklist!$H:$H,"&lt;&gt;"),COUNTIFS(Checklist!$A:$A,$A12,Checklist!$B:$B,$B12,Checklist!$C:$C,$C12,Checklist!$E:$E,"최적화",Checklist!$H:$H,"&lt;&gt;"))</f>
        <v>2</v>
      </c>
      <c r="I12" s="55">
        <f>IF(D12&gt;0,0,IF(AND(F12=0,H12=0),0.4,IF(AND(F12&gt;0,IF($B12="",COUNTIFS(Checklist!$A:$A,$A12,Checklist!$C:$C,$C12,Checklist!$E:$E,"향상",Checklist!$G:$G,"N"),COUNTIFS(Checklist!$A:$A,$A12,Checklist!$B:$B,$B12,Checklist!$C:$C,$C12,Checklist!$E:$E,"향상",Checklist!$G:$G,"N"))=0,H12&gt;0,IF($B12="",COUNTIFS(Checklist!$A:$A,$A12,Checklist!$C:$C,$C12,Checklist!$E:$E,"최적화",Checklist!$G:$G,"N"),COUNTIFS(Checklist!$A:$A,$A12,Checklist!$B:$B,$B12,Checklist!$C:$C,$C12,Checklist!$E:$E,"최적화",Checklist!$G:$G,"N"))=0),0.7+0.3*IF(H12=0,0,G12/H12),0.4+0.3*IF(F12=0,0,E12/F12))))</f>
        <v>1</v>
      </c>
    </row>
    <row r="13" spans="1:9" x14ac:dyDescent="0.45">
      <c r="A13" s="55" t="s">
        <v>87</v>
      </c>
      <c r="B13" s="55" t="s">
        <v>110</v>
      </c>
      <c r="C13" s="55" t="s">
        <v>120</v>
      </c>
      <c r="D13" s="55">
        <f>IF($B13="",COUNTIFS(Checklist!$A:$A,$A13,Checklist!$C:$C,$C13,Checklist!$E:$E,"초기",Checklist!$G:$G,"N"),COUNTIFS(Checklist!$A:$A,$A13,Checklist!$B:$B,$B13,Checklist!$C:$C,$C13,Checklist!$E:$E,"초기",Checklist!$G:$G,"N"))</f>
        <v>0</v>
      </c>
      <c r="E13" s="55">
        <f>IF($B13="",COUNTIFS(Checklist!$A:$A,$A13,Checklist!$C:$C,$C13,Checklist!$E:$E,"향상",Checklist!$G:$G,"Y"),COUNTIFS(Checklist!$A:$A,$A13,Checklist!$B:$B,$B13,Checklist!$C:$C,$C13,Checklist!$E:$E,"향상",Checklist!$G:$G,"Y"))</f>
        <v>2</v>
      </c>
      <c r="F13" s="55">
        <f>IF($B13="",COUNTIFS(Checklist!$A:$A,$A13,Checklist!$C:$C,$C13,Checklist!$E:$E,"향상",Checklist!$H:$H,"&lt;&gt;"),COUNTIFS(Checklist!$A:$A,$A13,Checklist!$B:$B,$B13,Checklist!$C:$C,$C13,Checklist!$E:$E,"향상",Checklist!$H:$H,"&lt;&gt;"))</f>
        <v>2</v>
      </c>
      <c r="G13" s="55">
        <f>IF($B13="",COUNTIFS(Checklist!$A:$A,$A13,Checklist!$C:$C,$C13,Checklist!$E:$E,"최적화",Checklist!$G:$G,"Y"),COUNTIFS(Checklist!$A:$A,$A13,Checklist!$B:$B,$B13,Checklist!$C:$C,$C13,Checklist!$E:$E,"최적화",Checklist!$G:$G,"Y"))</f>
        <v>2</v>
      </c>
      <c r="H13" s="55">
        <f>IF($B13="",COUNTIFS(Checklist!$A:$A,$A13,Checklist!$C:$C,$C13,Checklist!$E:$E,"최적화",Checklist!$H:$H,"&lt;&gt;"),COUNTIFS(Checklist!$A:$A,$A13,Checklist!$B:$B,$B13,Checklist!$C:$C,$C13,Checklist!$E:$E,"최적화",Checklist!$H:$H,"&lt;&gt;"))</f>
        <v>2</v>
      </c>
      <c r="I13" s="55">
        <f>IF(D13&gt;0,0,IF(AND(F13=0,H13=0),0.4,IF(AND(F13&gt;0,IF($B13="",COUNTIFS(Checklist!$A:$A,$A13,Checklist!$C:$C,$C13,Checklist!$E:$E,"향상",Checklist!$G:$G,"N"),COUNTIFS(Checklist!$A:$A,$A13,Checklist!$B:$B,$B13,Checklist!$C:$C,$C13,Checklist!$E:$E,"향상",Checklist!$G:$G,"N"))=0,H13&gt;0,IF($B13="",COUNTIFS(Checklist!$A:$A,$A13,Checklist!$C:$C,$C13,Checklist!$E:$E,"최적화",Checklist!$G:$G,"N"),COUNTIFS(Checklist!$A:$A,$A13,Checklist!$B:$B,$B13,Checklist!$C:$C,$C13,Checklist!$E:$E,"최적화",Checklist!$G:$G,"N"))=0),0.7+0.3*IF(H13=0,0,G13/H13),0.4+0.3*IF(F13=0,0,E13/F13))))</f>
        <v>1</v>
      </c>
    </row>
    <row r="14" spans="1:9" x14ac:dyDescent="0.45">
      <c r="A14" s="55" t="s">
        <v>87</v>
      </c>
      <c r="B14" s="55" t="s">
        <v>128</v>
      </c>
      <c r="C14" s="55" t="s">
        <v>129</v>
      </c>
      <c r="D14" s="55">
        <f>IF($B14="",COUNTIFS(Checklist!$A:$A,$A14,Checklist!$C:$C,$C14,Checklist!$E:$E,"초기",Checklist!$G:$G,"N"),COUNTIFS(Checklist!$A:$A,$A14,Checklist!$B:$B,$B14,Checklist!$C:$C,$C14,Checklist!$E:$E,"초기",Checklist!$G:$G,"N"))</f>
        <v>0</v>
      </c>
      <c r="E14" s="55">
        <f>IF($B14="",COUNTIFS(Checklist!$A:$A,$A14,Checklist!$C:$C,$C14,Checklist!$E:$E,"향상",Checklist!$G:$G,"Y"),COUNTIFS(Checklist!$A:$A,$A14,Checklist!$B:$B,$B14,Checklist!$C:$C,$C14,Checklist!$E:$E,"향상",Checklist!$G:$G,"Y"))</f>
        <v>2</v>
      </c>
      <c r="F14" s="55">
        <f>IF($B14="",COUNTIFS(Checklist!$A:$A,$A14,Checklist!$C:$C,$C14,Checklist!$E:$E,"향상",Checklist!$H:$H,"&lt;&gt;"),COUNTIFS(Checklist!$A:$A,$A14,Checklist!$B:$B,$B14,Checklist!$C:$C,$C14,Checklist!$E:$E,"향상",Checklist!$H:$H,"&lt;&gt;"))</f>
        <v>2</v>
      </c>
      <c r="G14" s="55">
        <f>IF($B14="",COUNTIFS(Checklist!$A:$A,$A14,Checklist!$C:$C,$C14,Checklist!$E:$E,"최적화",Checklist!$G:$G,"Y"),COUNTIFS(Checklist!$A:$A,$A14,Checklist!$B:$B,$B14,Checklist!$C:$C,$C14,Checklist!$E:$E,"최적화",Checklist!$G:$G,"Y"))</f>
        <v>2</v>
      </c>
      <c r="H14" s="55">
        <f>IF($B14="",COUNTIFS(Checklist!$A:$A,$A14,Checklist!$C:$C,$C14,Checklist!$E:$E,"최적화",Checklist!$H:$H,"&lt;&gt;"),COUNTIFS(Checklist!$A:$A,$A14,Checklist!$B:$B,$B14,Checklist!$C:$C,$C14,Checklist!$E:$E,"최적화",Checklist!$H:$H,"&lt;&gt;"))</f>
        <v>2</v>
      </c>
      <c r="I14" s="55">
        <f>IF(D14&gt;0,0,IF(AND(F14=0,H14=0),0.4,IF(AND(F14&gt;0,IF($B14="",COUNTIFS(Checklist!$A:$A,$A14,Checklist!$C:$C,$C14,Checklist!$E:$E,"향상",Checklist!$G:$G,"N"),COUNTIFS(Checklist!$A:$A,$A14,Checklist!$B:$B,$B14,Checklist!$C:$C,$C14,Checklist!$E:$E,"향상",Checklist!$G:$G,"N"))=0,H14&gt;0,IF($B14="",COUNTIFS(Checklist!$A:$A,$A14,Checklist!$C:$C,$C14,Checklist!$E:$E,"최적화",Checklist!$G:$G,"N"),COUNTIFS(Checklist!$A:$A,$A14,Checklist!$B:$B,$B14,Checklist!$C:$C,$C14,Checklist!$E:$E,"최적화",Checklist!$G:$G,"N"))=0),0.7+0.3*IF(H14=0,0,G14/H14),0.4+0.3*IF(F14=0,0,E14/F14))))</f>
        <v>1</v>
      </c>
    </row>
    <row r="15" spans="1:9" x14ac:dyDescent="0.45">
      <c r="A15" s="55" t="s">
        <v>87</v>
      </c>
      <c r="B15" s="55" t="s">
        <v>128</v>
      </c>
      <c r="C15" s="55" t="s">
        <v>136</v>
      </c>
      <c r="D15" s="55">
        <f>IF($B15="",COUNTIFS(Checklist!$A:$A,$A15,Checklist!$C:$C,$C15,Checklist!$E:$E,"초기",Checklist!$G:$G,"N"),COUNTIFS(Checklist!$A:$A,$A15,Checklist!$B:$B,$B15,Checklist!$C:$C,$C15,Checklist!$E:$E,"초기",Checklist!$G:$G,"N"))</f>
        <v>0</v>
      </c>
      <c r="E15" s="55">
        <f>IF($B15="",COUNTIFS(Checklist!$A:$A,$A15,Checklist!$C:$C,$C15,Checklist!$E:$E,"향상",Checklist!$G:$G,"Y"),COUNTIFS(Checklist!$A:$A,$A15,Checklist!$B:$B,$B15,Checklist!$C:$C,$C15,Checklist!$E:$E,"향상",Checklist!$G:$G,"Y"))</f>
        <v>2</v>
      </c>
      <c r="F15" s="55">
        <f>IF($B15="",COUNTIFS(Checklist!$A:$A,$A15,Checklist!$C:$C,$C15,Checklist!$E:$E,"향상",Checklist!$H:$H,"&lt;&gt;"),COUNTIFS(Checklist!$A:$A,$A15,Checklist!$B:$B,$B15,Checklist!$C:$C,$C15,Checklist!$E:$E,"향상",Checklist!$H:$H,"&lt;&gt;"))</f>
        <v>2</v>
      </c>
      <c r="G15" s="55">
        <f>IF($B15="",COUNTIFS(Checklist!$A:$A,$A15,Checklist!$C:$C,$C15,Checklist!$E:$E,"최적화",Checklist!$G:$G,"Y"),COUNTIFS(Checklist!$A:$A,$A15,Checklist!$B:$B,$B15,Checklist!$C:$C,$C15,Checklist!$E:$E,"최적화",Checklist!$G:$G,"Y"))</f>
        <v>2</v>
      </c>
      <c r="H15" s="55">
        <f>IF($B15="",COUNTIFS(Checklist!$A:$A,$A15,Checklist!$C:$C,$C15,Checklist!$E:$E,"최적화",Checklist!$H:$H,"&lt;&gt;"),COUNTIFS(Checklist!$A:$A,$A15,Checklist!$B:$B,$B15,Checklist!$C:$C,$C15,Checklist!$E:$E,"최적화",Checklist!$H:$H,"&lt;&gt;"))</f>
        <v>2</v>
      </c>
      <c r="I15" s="55">
        <f>IF(D15&gt;0,0,IF(AND(F15=0,H15=0),0.4,IF(AND(F15&gt;0,IF($B15="",COUNTIFS(Checklist!$A:$A,$A15,Checklist!$C:$C,$C15,Checklist!$E:$E,"향상",Checklist!$G:$G,"N"),COUNTIFS(Checklist!$A:$A,$A15,Checklist!$B:$B,$B15,Checklist!$C:$C,$C15,Checklist!$E:$E,"향상",Checklist!$G:$G,"N"))=0,H15&gt;0,IF($B15="",COUNTIFS(Checklist!$A:$A,$A15,Checklist!$C:$C,$C15,Checklist!$E:$E,"최적화",Checklist!$G:$G,"N"),COUNTIFS(Checklist!$A:$A,$A15,Checklist!$B:$B,$B15,Checklist!$C:$C,$C15,Checklist!$E:$E,"최적화",Checklist!$G:$G,"N"))=0),0.7+0.3*IF(H15=0,0,G15/H15),0.4+0.3*IF(F15=0,0,E15/F15))))</f>
        <v>1</v>
      </c>
    </row>
    <row r="16" spans="1:9" x14ac:dyDescent="0.45">
      <c r="A16" s="55" t="s">
        <v>144</v>
      </c>
      <c r="B16" s="55" t="s">
        <v>145</v>
      </c>
      <c r="C16" s="55" t="s">
        <v>146</v>
      </c>
      <c r="D16" s="55">
        <f>IF($B16="",COUNTIFS(Checklist!$A:$A,$A16,Checklist!$C:$C,$C16,Checklist!$E:$E,"초기",Checklist!$G:$G,"N"),COUNTIFS(Checklist!$A:$A,$A16,Checklist!$B:$B,$B16,Checklist!$C:$C,$C16,Checklist!$E:$E,"초기",Checklist!$G:$G,"N"))</f>
        <v>0</v>
      </c>
      <c r="E16" s="55">
        <f>IF($B16="",COUNTIFS(Checklist!$A:$A,$A16,Checklist!$C:$C,$C16,Checklist!$E:$E,"향상",Checklist!$G:$G,"Y"),COUNTIFS(Checklist!$A:$A,$A16,Checklist!$B:$B,$B16,Checklist!$C:$C,$C16,Checklist!$E:$E,"향상",Checklist!$G:$G,"Y"))</f>
        <v>3</v>
      </c>
      <c r="F16" s="55">
        <f>IF($B16="",COUNTIFS(Checklist!$A:$A,$A16,Checklist!$C:$C,$C16,Checklist!$E:$E,"향상",Checklist!$H:$H,"&lt;&gt;"),COUNTIFS(Checklist!$A:$A,$A16,Checklist!$B:$B,$B16,Checklist!$C:$C,$C16,Checklist!$E:$E,"향상",Checklist!$H:$H,"&lt;&gt;"))</f>
        <v>3</v>
      </c>
      <c r="G16" s="55">
        <f>IF($B16="",COUNTIFS(Checklist!$A:$A,$A16,Checklist!$C:$C,$C16,Checklist!$E:$E,"최적화",Checklist!$G:$G,"Y"),COUNTIFS(Checklist!$A:$A,$A16,Checklist!$B:$B,$B16,Checklist!$C:$C,$C16,Checklist!$E:$E,"최적화",Checklist!$G:$G,"Y"))</f>
        <v>3</v>
      </c>
      <c r="H16" s="55">
        <f>IF($B16="",COUNTIFS(Checklist!$A:$A,$A16,Checklist!$C:$C,$C16,Checklist!$E:$E,"최적화",Checklist!$H:$H,"&lt;&gt;"),COUNTIFS(Checklist!$A:$A,$A16,Checklist!$B:$B,$B16,Checklist!$C:$C,$C16,Checklist!$E:$E,"최적화",Checklist!$H:$H,"&lt;&gt;"))</f>
        <v>3</v>
      </c>
      <c r="I16" s="55">
        <f>IF(D16&gt;0,0,IF(AND(F16=0,H16=0),0.4,IF(AND(F16&gt;0,IF($B16="",COUNTIFS(Checklist!$A:$A,$A16,Checklist!$C:$C,$C16,Checklist!$E:$E,"향상",Checklist!$G:$G,"N"),COUNTIFS(Checklist!$A:$A,$A16,Checklist!$B:$B,$B16,Checklist!$C:$C,$C16,Checklist!$E:$E,"향상",Checklist!$G:$G,"N"))=0,H16&gt;0,IF($B16="",COUNTIFS(Checklist!$A:$A,$A16,Checklist!$C:$C,$C16,Checklist!$E:$E,"최적화",Checklist!$G:$G,"N"),COUNTIFS(Checklist!$A:$A,$A16,Checklist!$B:$B,$B16,Checklist!$C:$C,$C16,Checklist!$E:$E,"최적화",Checklist!$G:$G,"N"))=0),0.7+0.3*IF(H16=0,0,G16/H16),0.4+0.3*IF(F16=0,0,E16/F16))))</f>
        <v>1</v>
      </c>
    </row>
    <row r="17" spans="1:9" x14ac:dyDescent="0.45">
      <c r="A17" s="55" t="s">
        <v>144</v>
      </c>
      <c r="B17" s="55" t="s">
        <v>145</v>
      </c>
      <c r="C17" s="55" t="s">
        <v>156</v>
      </c>
      <c r="D17" s="55">
        <f>IF($B17="",COUNTIFS(Checklist!$A:$A,$A17,Checklist!$C:$C,$C17,Checklist!$E:$E,"초기",Checklist!$G:$G,"N"),COUNTIFS(Checklist!$A:$A,$A17,Checklist!$B:$B,$B17,Checklist!$C:$C,$C17,Checklist!$E:$E,"초기",Checklist!$G:$G,"N"))</f>
        <v>0</v>
      </c>
      <c r="E17" s="55">
        <f>IF($B17="",COUNTIFS(Checklist!$A:$A,$A17,Checklist!$C:$C,$C17,Checklist!$E:$E,"향상",Checklist!$G:$G,"Y"),COUNTIFS(Checklist!$A:$A,$A17,Checklist!$B:$B,$B17,Checklist!$C:$C,$C17,Checklist!$E:$E,"향상",Checklist!$G:$G,"Y"))</f>
        <v>3</v>
      </c>
      <c r="F17" s="55">
        <f>IF($B17="",COUNTIFS(Checklist!$A:$A,$A17,Checklist!$C:$C,$C17,Checklist!$E:$E,"향상",Checklist!$H:$H,"&lt;&gt;"),COUNTIFS(Checklist!$A:$A,$A17,Checklist!$B:$B,$B17,Checklist!$C:$C,$C17,Checklist!$E:$E,"향상",Checklist!$H:$H,"&lt;&gt;"))</f>
        <v>3</v>
      </c>
      <c r="G17" s="55">
        <f>IF($B17="",COUNTIFS(Checklist!$A:$A,$A17,Checklist!$C:$C,$C17,Checklist!$E:$E,"최적화",Checklist!$G:$G,"Y"),COUNTIFS(Checklist!$A:$A,$A17,Checklist!$B:$B,$B17,Checklist!$C:$C,$C17,Checklist!$E:$E,"최적화",Checklist!$G:$G,"Y"))</f>
        <v>2</v>
      </c>
      <c r="H17" s="55">
        <f>IF($B17="",COUNTIFS(Checklist!$A:$A,$A17,Checklist!$C:$C,$C17,Checklist!$E:$E,"최적화",Checklist!$H:$H,"&lt;&gt;"),COUNTIFS(Checklist!$A:$A,$A17,Checklist!$B:$B,$B17,Checklist!$C:$C,$C17,Checklist!$E:$E,"최적화",Checklist!$H:$H,"&lt;&gt;"))</f>
        <v>2</v>
      </c>
      <c r="I17" s="55">
        <f>IF(D17&gt;0,0,IF(AND(F17=0,H17=0),0.4,IF(AND(F17&gt;0,IF($B17="",COUNTIFS(Checklist!$A:$A,$A17,Checklist!$C:$C,$C17,Checklist!$E:$E,"향상",Checklist!$G:$G,"N"),COUNTIFS(Checklist!$A:$A,$A17,Checklist!$B:$B,$B17,Checklist!$C:$C,$C17,Checklist!$E:$E,"향상",Checklist!$G:$G,"N"))=0,H17&gt;0,IF($B17="",COUNTIFS(Checklist!$A:$A,$A17,Checklist!$C:$C,$C17,Checklist!$E:$E,"최적화",Checklist!$G:$G,"N"),COUNTIFS(Checklist!$A:$A,$A17,Checklist!$B:$B,$B17,Checklist!$C:$C,$C17,Checklist!$E:$E,"최적화",Checklist!$G:$G,"N"))=0),0.7+0.3*IF(H17=0,0,G17/H17),0.4+0.3*IF(F17=0,0,E17/F17))))</f>
        <v>1</v>
      </c>
    </row>
    <row r="18" spans="1:9" x14ac:dyDescent="0.45">
      <c r="A18" s="55" t="s">
        <v>144</v>
      </c>
      <c r="B18" s="55" t="s">
        <v>145</v>
      </c>
      <c r="C18" s="55" t="s">
        <v>166</v>
      </c>
      <c r="D18" s="55">
        <f>IF($B18="",COUNTIFS(Checklist!$A:$A,$A18,Checklist!$C:$C,$C18,Checklist!$E:$E,"초기",Checklist!$G:$G,"N"),COUNTIFS(Checklist!$A:$A,$A18,Checklist!$B:$B,$B18,Checklist!$C:$C,$C18,Checklist!$E:$E,"초기",Checklist!$G:$G,"N"))</f>
        <v>0</v>
      </c>
      <c r="E18" s="55">
        <f>IF($B18="",COUNTIFS(Checklist!$A:$A,$A18,Checklist!$C:$C,$C18,Checklist!$E:$E,"향상",Checklist!$G:$G,"Y"),COUNTIFS(Checklist!$A:$A,$A18,Checklist!$B:$B,$B18,Checklist!$C:$C,$C18,Checklist!$E:$E,"향상",Checklist!$G:$G,"Y"))</f>
        <v>2</v>
      </c>
      <c r="F18" s="55">
        <f>IF($B18="",COUNTIFS(Checklist!$A:$A,$A18,Checklist!$C:$C,$C18,Checklist!$E:$E,"향상",Checklist!$H:$H,"&lt;&gt;"),COUNTIFS(Checklist!$A:$A,$A18,Checklist!$B:$B,$B18,Checklist!$C:$C,$C18,Checklist!$E:$E,"향상",Checklist!$H:$H,"&lt;&gt;"))</f>
        <v>2</v>
      </c>
      <c r="G18" s="55">
        <f>IF($B18="",COUNTIFS(Checklist!$A:$A,$A18,Checklist!$C:$C,$C18,Checklist!$E:$E,"최적화",Checklist!$G:$G,"Y"),COUNTIFS(Checklist!$A:$A,$A18,Checklist!$B:$B,$B18,Checklist!$C:$C,$C18,Checklist!$E:$E,"최적화",Checklist!$G:$G,"Y"))</f>
        <v>2</v>
      </c>
      <c r="H18" s="55">
        <f>IF($B18="",COUNTIFS(Checklist!$A:$A,$A18,Checklist!$C:$C,$C18,Checklist!$E:$E,"최적화",Checklist!$H:$H,"&lt;&gt;"),COUNTIFS(Checklist!$A:$A,$A18,Checklist!$B:$B,$B18,Checklist!$C:$C,$C18,Checklist!$E:$E,"최적화",Checklist!$H:$H,"&lt;&gt;"))</f>
        <v>2</v>
      </c>
      <c r="I18" s="55">
        <f>IF(D18&gt;0,0,IF(AND(F18=0,H18=0),0.4,IF(AND(F18&gt;0,IF($B18="",COUNTIFS(Checklist!$A:$A,$A18,Checklist!$C:$C,$C18,Checklist!$E:$E,"향상",Checklist!$G:$G,"N"),COUNTIFS(Checklist!$A:$A,$A18,Checklist!$B:$B,$B18,Checklist!$C:$C,$C18,Checklist!$E:$E,"향상",Checklist!$G:$G,"N"))=0,H18&gt;0,IF($B18="",COUNTIFS(Checklist!$A:$A,$A18,Checklist!$C:$C,$C18,Checklist!$E:$E,"최적화",Checklist!$G:$G,"N"),COUNTIFS(Checklist!$A:$A,$A18,Checklist!$B:$B,$B18,Checklist!$C:$C,$C18,Checklist!$E:$E,"최적화",Checklist!$G:$G,"N"))=0),0.7+0.3*IF(H18=0,0,G18/H18),0.4+0.3*IF(F18=0,0,E18/F18))))</f>
        <v>1</v>
      </c>
    </row>
    <row r="19" spans="1:9" x14ac:dyDescent="0.45">
      <c r="A19" s="55" t="s">
        <v>144</v>
      </c>
      <c r="B19" s="55" t="s">
        <v>174</v>
      </c>
      <c r="C19" s="55" t="s">
        <v>174</v>
      </c>
      <c r="D19" s="55">
        <f>IF($B19="",COUNTIFS(Checklist!$A:$A,$A19,Checklist!$C:$C,$C19,Checklist!$E:$E,"초기",Checklist!$G:$G,"N"),COUNTIFS(Checklist!$A:$A,$A19,Checklist!$B:$B,$B19,Checklist!$C:$C,$C19,Checklist!$E:$E,"초기",Checklist!$G:$G,"N"))</f>
        <v>0</v>
      </c>
      <c r="E19" s="55">
        <f>IF($B19="",COUNTIFS(Checklist!$A:$A,$A19,Checklist!$C:$C,$C19,Checklist!$E:$E,"향상",Checklist!$G:$G,"Y"),COUNTIFS(Checklist!$A:$A,$A19,Checklist!$B:$B,$B19,Checklist!$C:$C,$C19,Checklist!$E:$E,"향상",Checklist!$G:$G,"Y"))</f>
        <v>2</v>
      </c>
      <c r="F19" s="55">
        <f>IF($B19="",COUNTIFS(Checklist!$A:$A,$A19,Checklist!$C:$C,$C19,Checklist!$E:$E,"향상",Checklist!$H:$H,"&lt;&gt;"),COUNTIFS(Checklist!$A:$A,$A19,Checklist!$B:$B,$B19,Checklist!$C:$C,$C19,Checklist!$E:$E,"향상",Checklist!$H:$H,"&lt;&gt;"))</f>
        <v>2</v>
      </c>
      <c r="G19" s="55">
        <f>IF($B19="",COUNTIFS(Checklist!$A:$A,$A19,Checklist!$C:$C,$C19,Checklist!$E:$E,"최적화",Checklist!$G:$G,"Y"),COUNTIFS(Checklist!$A:$A,$A19,Checklist!$B:$B,$B19,Checklist!$C:$C,$C19,Checklist!$E:$E,"최적화",Checklist!$G:$G,"Y"))</f>
        <v>2</v>
      </c>
      <c r="H19" s="55">
        <f>IF($B19="",COUNTIFS(Checklist!$A:$A,$A19,Checklist!$C:$C,$C19,Checklist!$E:$E,"최적화",Checklist!$H:$H,"&lt;&gt;"),COUNTIFS(Checklist!$A:$A,$A19,Checklist!$B:$B,$B19,Checklist!$C:$C,$C19,Checklist!$E:$E,"최적화",Checklist!$H:$H,"&lt;&gt;"))</f>
        <v>2</v>
      </c>
      <c r="I19" s="55">
        <f>IF(D19&gt;0,0,IF(AND(F19=0,H19=0),0.4,IF(AND(F19&gt;0,IF($B19="",COUNTIFS(Checklist!$A:$A,$A19,Checklist!$C:$C,$C19,Checklist!$E:$E,"향상",Checklist!$G:$G,"N"),COUNTIFS(Checklist!$A:$A,$A19,Checklist!$B:$B,$B19,Checklist!$C:$C,$C19,Checklist!$E:$E,"향상",Checklist!$G:$G,"N"))=0,H19&gt;0,IF($B19="",COUNTIFS(Checklist!$A:$A,$A19,Checklist!$C:$C,$C19,Checklist!$E:$E,"최적화",Checklist!$G:$G,"N"),COUNTIFS(Checklist!$A:$A,$A19,Checklist!$B:$B,$B19,Checklist!$C:$C,$C19,Checklist!$E:$E,"최적화",Checklist!$G:$G,"N"))=0),0.7+0.3*IF(H19=0,0,G19/H19),0.4+0.3*IF(F19=0,0,E19/F19))))</f>
        <v>1</v>
      </c>
    </row>
    <row r="20" spans="1:9" x14ac:dyDescent="0.45">
      <c r="A20" s="55" t="s">
        <v>144</v>
      </c>
      <c r="B20" s="55" t="s">
        <v>182</v>
      </c>
      <c r="C20" s="55" t="s">
        <v>182</v>
      </c>
      <c r="D20" s="55">
        <f>IF($B20="",COUNTIFS(Checklist!$A:$A,$A20,Checklist!$C:$C,$C20,Checklist!$E:$E,"초기",Checklist!$G:$G,"N"),COUNTIFS(Checklist!$A:$A,$A20,Checklist!$B:$B,$B20,Checklist!$C:$C,$C20,Checklist!$E:$E,"초기",Checklist!$G:$G,"N"))</f>
        <v>0</v>
      </c>
      <c r="E20" s="55">
        <f>IF($B20="",COUNTIFS(Checklist!$A:$A,$A20,Checklist!$C:$C,$C20,Checklist!$E:$E,"향상",Checklist!$G:$G,"Y"),COUNTIFS(Checklist!$A:$A,$A20,Checklist!$B:$B,$B20,Checklist!$C:$C,$C20,Checklist!$E:$E,"향상",Checklist!$G:$G,"Y"))</f>
        <v>2</v>
      </c>
      <c r="F20" s="55">
        <f>IF($B20="",COUNTIFS(Checklist!$A:$A,$A20,Checklist!$C:$C,$C20,Checklist!$E:$E,"향상",Checklist!$H:$H,"&lt;&gt;"),COUNTIFS(Checklist!$A:$A,$A20,Checklist!$B:$B,$B20,Checklist!$C:$C,$C20,Checklist!$E:$E,"향상",Checklist!$H:$H,"&lt;&gt;"))</f>
        <v>2</v>
      </c>
      <c r="G20" s="55">
        <f>IF($B20="",COUNTIFS(Checklist!$A:$A,$A20,Checklist!$C:$C,$C20,Checklist!$E:$E,"최적화",Checklist!$G:$G,"Y"),COUNTIFS(Checklist!$A:$A,$A20,Checklist!$B:$B,$B20,Checklist!$C:$C,$C20,Checklist!$E:$E,"최적화",Checklist!$G:$G,"Y"))</f>
        <v>3</v>
      </c>
      <c r="H20" s="55">
        <f>IF($B20="",COUNTIFS(Checklist!$A:$A,$A20,Checklist!$C:$C,$C20,Checklist!$E:$E,"최적화",Checklist!$H:$H,"&lt;&gt;"),COUNTIFS(Checklist!$A:$A,$A20,Checklist!$B:$B,$B20,Checklist!$C:$C,$C20,Checklist!$E:$E,"최적화",Checklist!$H:$H,"&lt;&gt;"))</f>
        <v>3</v>
      </c>
      <c r="I20" s="55">
        <f>IF(D20&gt;0,0,IF(AND(F20=0,H20=0),0.4,IF(AND(F20&gt;0,IF($B20="",COUNTIFS(Checklist!$A:$A,$A20,Checklist!$C:$C,$C20,Checklist!$E:$E,"향상",Checklist!$G:$G,"N"),COUNTIFS(Checklist!$A:$A,$A20,Checklist!$B:$B,$B20,Checklist!$C:$C,$C20,Checklist!$E:$E,"향상",Checklist!$G:$G,"N"))=0,H20&gt;0,IF($B20="",COUNTIFS(Checklist!$A:$A,$A20,Checklist!$C:$C,$C20,Checklist!$E:$E,"최적화",Checklist!$G:$G,"N"),COUNTIFS(Checklist!$A:$A,$A20,Checklist!$B:$B,$B20,Checklist!$C:$C,$C20,Checklist!$E:$E,"최적화",Checklist!$G:$G,"N"))=0),0.7+0.3*IF(H20=0,0,G20/H20),0.4+0.3*IF(F20=0,0,E20/F20))))</f>
        <v>1</v>
      </c>
    </row>
    <row r="21" spans="1:9" x14ac:dyDescent="0.45">
      <c r="A21" s="55" t="s">
        <v>144</v>
      </c>
      <c r="B21" s="55" t="s">
        <v>191</v>
      </c>
      <c r="C21" s="55" t="s">
        <v>192</v>
      </c>
      <c r="D21" s="55">
        <f>IF($B21="",COUNTIFS(Checklist!$A:$A,$A21,Checklist!$C:$C,$C21,Checklist!$E:$E,"초기",Checklist!$G:$G,"N"),COUNTIFS(Checklist!$A:$A,$A21,Checklist!$B:$B,$B21,Checklist!$C:$C,$C21,Checklist!$E:$E,"초기",Checklist!$G:$G,"N"))</f>
        <v>0</v>
      </c>
      <c r="E21" s="55">
        <f>IF($B21="",COUNTIFS(Checklist!$A:$A,$A21,Checklist!$C:$C,$C21,Checklist!$E:$E,"향상",Checklist!$G:$G,"Y"),COUNTIFS(Checklist!$A:$A,$A21,Checklist!$B:$B,$B21,Checklist!$C:$C,$C21,Checklist!$E:$E,"향상",Checklist!$G:$G,"Y"))</f>
        <v>3</v>
      </c>
      <c r="F21" s="55">
        <f>IF($B21="",COUNTIFS(Checklist!$A:$A,$A21,Checklist!$C:$C,$C21,Checklist!$E:$E,"향상",Checklist!$H:$H,"&lt;&gt;"),COUNTIFS(Checklist!$A:$A,$A21,Checklist!$B:$B,$B21,Checklist!$C:$C,$C21,Checklist!$E:$E,"향상",Checklist!$H:$H,"&lt;&gt;"))</f>
        <v>3</v>
      </c>
      <c r="G21" s="55">
        <f>IF($B21="",COUNTIFS(Checklist!$A:$A,$A21,Checklist!$C:$C,$C21,Checklist!$E:$E,"최적화",Checklist!$G:$G,"Y"),COUNTIFS(Checklist!$A:$A,$A21,Checklist!$B:$B,$B21,Checklist!$C:$C,$C21,Checklist!$E:$E,"최적화",Checklist!$G:$G,"Y"))</f>
        <v>3</v>
      </c>
      <c r="H21" s="55">
        <f>IF($B21="",COUNTIFS(Checklist!$A:$A,$A21,Checklist!$C:$C,$C21,Checklist!$E:$E,"최적화",Checklist!$H:$H,"&lt;&gt;"),COUNTIFS(Checklist!$A:$A,$A21,Checklist!$B:$B,$B21,Checklist!$C:$C,$C21,Checklist!$E:$E,"최적화",Checklist!$H:$H,"&lt;&gt;"))</f>
        <v>3</v>
      </c>
      <c r="I21" s="55">
        <f>IF(D21&gt;0,0,IF(AND(F21=0,H21=0),0.4,IF(AND(F21&gt;0,IF($B21="",COUNTIFS(Checklist!$A:$A,$A21,Checklist!$C:$C,$C21,Checklist!$E:$E,"향상",Checklist!$G:$G,"N"),COUNTIFS(Checklist!$A:$A,$A21,Checklist!$B:$B,$B21,Checklist!$C:$C,$C21,Checklist!$E:$E,"향상",Checklist!$G:$G,"N"))=0,H21&gt;0,IF($B21="",COUNTIFS(Checklist!$A:$A,$A21,Checklist!$C:$C,$C21,Checklist!$E:$E,"최적화",Checklist!$G:$G,"N"),COUNTIFS(Checklist!$A:$A,$A21,Checklist!$B:$B,$B21,Checklist!$C:$C,$C21,Checklist!$E:$E,"최적화",Checklist!$G:$G,"N"))=0),0.7+0.3*IF(H21=0,0,G21/H21),0.4+0.3*IF(F21=0,0,E21/F21))))</f>
        <v>1</v>
      </c>
    </row>
    <row r="22" spans="1:9" x14ac:dyDescent="0.45">
      <c r="A22" s="55" t="s">
        <v>144</v>
      </c>
      <c r="B22" s="55" t="s">
        <v>202</v>
      </c>
      <c r="C22" s="55" t="s">
        <v>202</v>
      </c>
      <c r="D22" s="55">
        <f>IF($B22="",COUNTIFS(Checklist!$A:$A,$A22,Checklist!$C:$C,$C22,Checklist!$E:$E,"초기",Checklist!$G:$G,"N"),COUNTIFS(Checklist!$A:$A,$A22,Checklist!$B:$B,$B22,Checklist!$C:$C,$C22,Checklist!$E:$E,"초기",Checklist!$G:$G,"N"))</f>
        <v>0</v>
      </c>
      <c r="E22" s="55">
        <f>IF($B22="",COUNTIFS(Checklist!$A:$A,$A22,Checklist!$C:$C,$C22,Checklist!$E:$E,"향상",Checklist!$G:$G,"Y"),COUNTIFS(Checklist!$A:$A,$A22,Checklist!$B:$B,$B22,Checklist!$C:$C,$C22,Checklist!$E:$E,"향상",Checklist!$G:$G,"Y"))</f>
        <v>2</v>
      </c>
      <c r="F22" s="55">
        <f>IF($B22="",COUNTIFS(Checklist!$A:$A,$A22,Checklist!$C:$C,$C22,Checklist!$E:$E,"향상",Checklist!$H:$H,"&lt;&gt;"),COUNTIFS(Checklist!$A:$A,$A22,Checklist!$B:$B,$B22,Checklist!$C:$C,$C22,Checklist!$E:$E,"향상",Checklist!$H:$H,"&lt;&gt;"))</f>
        <v>2</v>
      </c>
      <c r="G22" s="55">
        <f>IF($B22="",COUNTIFS(Checklist!$A:$A,$A22,Checklist!$C:$C,$C22,Checklist!$E:$E,"최적화",Checklist!$G:$G,"Y"),COUNTIFS(Checklist!$A:$A,$A22,Checklist!$B:$B,$B22,Checklist!$C:$C,$C22,Checklist!$E:$E,"최적화",Checklist!$G:$G,"Y"))</f>
        <v>3</v>
      </c>
      <c r="H22" s="55">
        <f>IF($B22="",COUNTIFS(Checklist!$A:$A,$A22,Checklist!$C:$C,$C22,Checklist!$E:$E,"최적화",Checklist!$H:$H,"&lt;&gt;"),COUNTIFS(Checklist!$A:$A,$A22,Checklist!$B:$B,$B22,Checklist!$C:$C,$C22,Checklist!$E:$E,"최적화",Checklist!$H:$H,"&lt;&gt;"))</f>
        <v>3</v>
      </c>
      <c r="I22" s="55">
        <f>IF(D22&gt;0,0,IF(AND(F22=0,H22=0),0.4,IF(AND(F22&gt;0,IF($B22="",COUNTIFS(Checklist!$A:$A,$A22,Checklist!$C:$C,$C22,Checklist!$E:$E,"향상",Checklist!$G:$G,"N"),COUNTIFS(Checklist!$A:$A,$A22,Checklist!$B:$B,$B22,Checklist!$C:$C,$C22,Checklist!$E:$E,"향상",Checklist!$G:$G,"N"))=0,H22&gt;0,IF($B22="",COUNTIFS(Checklist!$A:$A,$A22,Checklist!$C:$C,$C22,Checklist!$E:$E,"최적화",Checklist!$G:$G,"N"),COUNTIFS(Checklist!$A:$A,$A22,Checklist!$B:$B,$B22,Checklist!$C:$C,$C22,Checklist!$E:$E,"최적화",Checklist!$G:$G,"N"))=0),0.7+0.3*IF(H22=0,0,G22/H22),0.4+0.3*IF(F22=0,0,E22/F22))))</f>
        <v>1</v>
      </c>
    </row>
    <row r="23" spans="1:9" x14ac:dyDescent="0.45">
      <c r="A23" s="55" t="s">
        <v>212</v>
      </c>
      <c r="B23" s="55" t="s">
        <v>213</v>
      </c>
      <c r="C23" s="55" t="s">
        <v>214</v>
      </c>
      <c r="D23" s="55">
        <f>IF($B23="",COUNTIFS(Checklist!$A:$A,$A23,Checklist!$C:$C,$C23,Checklist!$E:$E,"초기",Checklist!$G:$G,"N"),COUNTIFS(Checklist!$A:$A,$A23,Checklist!$B:$B,$B23,Checklist!$C:$C,$C23,Checklist!$E:$E,"초기",Checklist!$G:$G,"N"))</f>
        <v>0</v>
      </c>
      <c r="E23" s="55">
        <f>IF($B23="",COUNTIFS(Checklist!$A:$A,$A23,Checklist!$C:$C,$C23,Checklist!$E:$E,"향상",Checklist!$G:$G,"Y"),COUNTIFS(Checklist!$A:$A,$A23,Checklist!$B:$B,$B23,Checklist!$C:$C,$C23,Checklist!$E:$E,"향상",Checklist!$G:$G,"Y"))</f>
        <v>2</v>
      </c>
      <c r="F23" s="55">
        <f>IF($B23="",COUNTIFS(Checklist!$A:$A,$A23,Checklist!$C:$C,$C23,Checklist!$E:$E,"향상",Checklist!$H:$H,"&lt;&gt;"),COUNTIFS(Checklist!$A:$A,$A23,Checklist!$B:$B,$B23,Checklist!$C:$C,$C23,Checklist!$E:$E,"향상",Checklist!$H:$H,"&lt;&gt;"))</f>
        <v>2</v>
      </c>
      <c r="G23" s="55">
        <f>IF($B23="",COUNTIFS(Checklist!$A:$A,$A23,Checklist!$C:$C,$C23,Checklist!$E:$E,"최적화",Checklist!$G:$G,"Y"),COUNTIFS(Checklist!$A:$A,$A23,Checklist!$B:$B,$B23,Checklist!$C:$C,$C23,Checklist!$E:$E,"최적화",Checklist!$G:$G,"Y"))</f>
        <v>6</v>
      </c>
      <c r="H23" s="55">
        <f>IF($B23="",COUNTIFS(Checklist!$A:$A,$A23,Checklist!$C:$C,$C23,Checklist!$E:$E,"최적화",Checklist!$H:$H,"&lt;&gt;"),COUNTIFS(Checklist!$A:$A,$A23,Checklist!$B:$B,$B23,Checklist!$C:$C,$C23,Checklist!$E:$E,"최적화",Checklist!$H:$H,"&lt;&gt;"))</f>
        <v>6</v>
      </c>
      <c r="I23" s="55">
        <f>IF(D23&gt;0,0,IF(AND(F23=0,H23=0),0.4,IF(AND(F23&gt;0,IF($B23="",COUNTIFS(Checklist!$A:$A,$A23,Checklist!$C:$C,$C23,Checklist!$E:$E,"향상",Checklist!$G:$G,"N"),COUNTIFS(Checklist!$A:$A,$A23,Checklist!$B:$B,$B23,Checklist!$C:$C,$C23,Checklist!$E:$E,"향상",Checklist!$G:$G,"N"))=0,H23&gt;0,IF($B23="",COUNTIFS(Checklist!$A:$A,$A23,Checklist!$C:$C,$C23,Checklist!$E:$E,"최적화",Checklist!$G:$G,"N"),COUNTIFS(Checklist!$A:$A,$A23,Checklist!$B:$B,$B23,Checklist!$C:$C,$C23,Checklist!$E:$E,"최적화",Checklist!$G:$G,"N"))=0),0.7+0.3*IF(H23=0,0,G23/H23),0.4+0.3*IF(F23=0,0,E23/F23))))</f>
        <v>1</v>
      </c>
    </row>
    <row r="24" spans="1:9" x14ac:dyDescent="0.45">
      <c r="A24" s="55" t="s">
        <v>212</v>
      </c>
      <c r="B24" s="55" t="s">
        <v>227</v>
      </c>
      <c r="C24" s="55" t="s">
        <v>228</v>
      </c>
      <c r="D24" s="55">
        <f>IF($B24="",COUNTIFS(Checklist!$A:$A,$A24,Checklist!$C:$C,$C24,Checklist!$E:$E,"초기",Checklist!$G:$G,"N"),COUNTIFS(Checklist!$A:$A,$A24,Checklist!$B:$B,$B24,Checklist!$C:$C,$C24,Checklist!$E:$E,"초기",Checklist!$G:$G,"N"))</f>
        <v>0</v>
      </c>
      <c r="E24" s="55">
        <f>IF($B24="",COUNTIFS(Checklist!$A:$A,$A24,Checklist!$C:$C,$C24,Checklist!$E:$E,"향상",Checklist!$G:$G,"Y"),COUNTIFS(Checklist!$A:$A,$A24,Checklist!$B:$B,$B24,Checklist!$C:$C,$C24,Checklist!$E:$E,"향상",Checklist!$G:$G,"Y"))</f>
        <v>4</v>
      </c>
      <c r="F24" s="55">
        <f>IF($B24="",COUNTIFS(Checklist!$A:$A,$A24,Checklist!$C:$C,$C24,Checklist!$E:$E,"향상",Checklist!$H:$H,"&lt;&gt;"),COUNTIFS(Checklist!$A:$A,$A24,Checklist!$B:$B,$B24,Checklist!$C:$C,$C24,Checklist!$E:$E,"향상",Checklist!$H:$H,"&lt;&gt;"))</f>
        <v>4</v>
      </c>
      <c r="G24" s="55">
        <f>IF($B24="",COUNTIFS(Checklist!$A:$A,$A24,Checklist!$C:$C,$C24,Checklist!$E:$E,"최적화",Checklist!$G:$G,"Y"),COUNTIFS(Checklist!$A:$A,$A24,Checklist!$B:$B,$B24,Checklist!$C:$C,$C24,Checklist!$E:$E,"최적화",Checklist!$G:$G,"Y"))</f>
        <v>4</v>
      </c>
      <c r="H24" s="55">
        <f>IF($B24="",COUNTIFS(Checklist!$A:$A,$A24,Checklist!$C:$C,$C24,Checklist!$E:$E,"최적화",Checklist!$H:$H,"&lt;&gt;"),COUNTIFS(Checklist!$A:$A,$A24,Checklist!$B:$B,$B24,Checklist!$C:$C,$C24,Checklist!$E:$E,"최적화",Checklist!$H:$H,"&lt;&gt;"))</f>
        <v>4</v>
      </c>
      <c r="I24" s="55">
        <f>IF(D24&gt;0,0,IF(AND(F24=0,H24=0),0.4,IF(AND(F24&gt;0,IF($B24="",COUNTIFS(Checklist!$A:$A,$A24,Checklist!$C:$C,$C24,Checklist!$E:$E,"향상",Checklist!$G:$G,"N"),COUNTIFS(Checklist!$A:$A,$A24,Checklist!$B:$B,$B24,Checklist!$C:$C,$C24,Checklist!$E:$E,"향상",Checklist!$G:$G,"N"))=0,H24&gt;0,IF($B24="",COUNTIFS(Checklist!$A:$A,$A24,Checklist!$C:$C,$C24,Checklist!$E:$E,"최적화",Checklist!$G:$G,"N"),COUNTIFS(Checklist!$A:$A,$A24,Checklist!$B:$B,$B24,Checklist!$C:$C,$C24,Checklist!$E:$E,"최적화",Checklist!$G:$G,"N"))=0),0.7+0.3*IF(H24=0,0,G24/H24),0.4+0.3*IF(F24=0,0,E24/F24))))</f>
        <v>1</v>
      </c>
    </row>
    <row r="25" spans="1:9" x14ac:dyDescent="0.45">
      <c r="A25" s="55" t="s">
        <v>212</v>
      </c>
      <c r="B25" s="55" t="s">
        <v>242</v>
      </c>
      <c r="C25" s="55" t="s">
        <v>243</v>
      </c>
      <c r="D25" s="55">
        <f>IF($B25="",COUNTIFS(Checklist!$A:$A,$A25,Checklist!$C:$C,$C25,Checklist!$E:$E,"초기",Checklist!$G:$G,"N"),COUNTIFS(Checklist!$A:$A,$A25,Checklist!$B:$B,$B25,Checklist!$C:$C,$C25,Checklist!$E:$E,"초기",Checklist!$G:$G,"N"))</f>
        <v>0</v>
      </c>
      <c r="E25" s="55">
        <f>IF($B25="",COUNTIFS(Checklist!$A:$A,$A25,Checklist!$C:$C,$C25,Checklist!$E:$E,"향상",Checklist!$G:$G,"Y"),COUNTIFS(Checklist!$A:$A,$A25,Checklist!$B:$B,$B25,Checklist!$C:$C,$C25,Checklist!$E:$E,"향상",Checklist!$G:$G,"Y"))</f>
        <v>2</v>
      </c>
      <c r="F25" s="55">
        <f>IF($B25="",COUNTIFS(Checklist!$A:$A,$A25,Checklist!$C:$C,$C25,Checklist!$E:$E,"향상",Checklist!$H:$H,"&lt;&gt;"),COUNTIFS(Checklist!$A:$A,$A25,Checklist!$B:$B,$B25,Checklist!$C:$C,$C25,Checklist!$E:$E,"향상",Checklist!$H:$H,"&lt;&gt;"))</f>
        <v>2</v>
      </c>
      <c r="G25" s="55">
        <f>IF($B25="",COUNTIFS(Checklist!$A:$A,$A25,Checklist!$C:$C,$C25,Checklist!$E:$E,"최적화",Checklist!$G:$G,"Y"),COUNTIFS(Checklist!$A:$A,$A25,Checklist!$B:$B,$B25,Checklist!$C:$C,$C25,Checklist!$E:$E,"최적화",Checklist!$G:$G,"Y"))</f>
        <v>2</v>
      </c>
      <c r="H25" s="55">
        <f>IF($B25="",COUNTIFS(Checklist!$A:$A,$A25,Checklist!$C:$C,$C25,Checklist!$E:$E,"최적화",Checklist!$H:$H,"&lt;&gt;"),COUNTIFS(Checklist!$A:$A,$A25,Checklist!$B:$B,$B25,Checklist!$C:$C,$C25,Checklist!$E:$E,"최적화",Checklist!$H:$H,"&lt;&gt;"))</f>
        <v>2</v>
      </c>
      <c r="I25" s="55">
        <f>IF(D25&gt;0,0,IF(AND(F25=0,H25=0),0.4,IF(AND(F25&gt;0,IF($B25="",COUNTIFS(Checklist!$A:$A,$A25,Checklist!$C:$C,$C25,Checklist!$E:$E,"향상",Checklist!$G:$G,"N"),COUNTIFS(Checklist!$A:$A,$A25,Checklist!$B:$B,$B25,Checklist!$C:$C,$C25,Checklist!$E:$E,"향상",Checklist!$G:$G,"N"))=0,H25&gt;0,IF($B25="",COUNTIFS(Checklist!$A:$A,$A25,Checklist!$C:$C,$C25,Checklist!$E:$E,"최적화",Checklist!$G:$G,"N"),COUNTIFS(Checklist!$A:$A,$A25,Checklist!$B:$B,$B25,Checklist!$C:$C,$C25,Checklist!$E:$E,"최적화",Checklist!$G:$G,"N"))=0),0.7+0.3*IF(H25=0,0,G25/H25),0.4+0.3*IF(F25=0,0,E25/F25))))</f>
        <v>1</v>
      </c>
    </row>
    <row r="26" spans="1:9" x14ac:dyDescent="0.45">
      <c r="A26" s="55" t="s">
        <v>212</v>
      </c>
      <c r="B26" s="55" t="s">
        <v>251</v>
      </c>
      <c r="C26" s="55" t="s">
        <v>251</v>
      </c>
      <c r="D26" s="55">
        <f>IF($B26="",COUNTIFS(Checklist!$A:$A,$A26,Checklist!$C:$C,$C26,Checklist!$E:$E,"초기",Checklist!$G:$G,"N"),COUNTIFS(Checklist!$A:$A,$A26,Checklist!$B:$B,$B26,Checklist!$C:$C,$C26,Checklist!$E:$E,"초기",Checklist!$G:$G,"N"))</f>
        <v>0</v>
      </c>
      <c r="E26" s="55">
        <f>IF($B26="",COUNTIFS(Checklist!$A:$A,$A26,Checklist!$C:$C,$C26,Checklist!$E:$E,"향상",Checklist!$G:$G,"Y"),COUNTIFS(Checklist!$A:$A,$A26,Checklist!$B:$B,$B26,Checklist!$C:$C,$C26,Checklist!$E:$E,"향상",Checklist!$G:$G,"Y"))</f>
        <v>4</v>
      </c>
      <c r="F26" s="55">
        <f>IF($B26="",COUNTIFS(Checklist!$A:$A,$A26,Checklist!$C:$C,$C26,Checklist!$E:$E,"향상",Checklist!$H:$H,"&lt;&gt;"),COUNTIFS(Checklist!$A:$A,$A26,Checklist!$B:$B,$B26,Checklist!$C:$C,$C26,Checklist!$E:$E,"향상",Checklist!$H:$H,"&lt;&gt;"))</f>
        <v>4</v>
      </c>
      <c r="G26" s="55">
        <f>IF($B26="",COUNTIFS(Checklist!$A:$A,$A26,Checklist!$C:$C,$C26,Checklist!$E:$E,"최적화",Checklist!$G:$G,"Y"),COUNTIFS(Checklist!$A:$A,$A26,Checklist!$B:$B,$B26,Checklist!$C:$C,$C26,Checklist!$E:$E,"최적화",Checklist!$G:$G,"Y"))</f>
        <v>5</v>
      </c>
      <c r="H26" s="55">
        <f>IF($B26="",COUNTIFS(Checklist!$A:$A,$A26,Checklist!$C:$C,$C26,Checklist!$E:$E,"최적화",Checklist!$H:$H,"&lt;&gt;"),COUNTIFS(Checklist!$A:$A,$A26,Checklist!$B:$B,$B26,Checklist!$C:$C,$C26,Checklist!$E:$E,"최적화",Checklist!$H:$H,"&lt;&gt;"))</f>
        <v>5</v>
      </c>
      <c r="I26" s="55">
        <f>IF(D26&gt;0,0,IF(AND(F26=0,H26=0),0.4,IF(AND(F26&gt;0,IF($B26="",COUNTIFS(Checklist!$A:$A,$A26,Checklist!$C:$C,$C26,Checklist!$E:$E,"향상",Checklist!$G:$G,"N"),COUNTIFS(Checklist!$A:$A,$A26,Checklist!$B:$B,$B26,Checklist!$C:$C,$C26,Checklist!$E:$E,"향상",Checklist!$G:$G,"N"))=0,H26&gt;0,IF($B26="",COUNTIFS(Checklist!$A:$A,$A26,Checklist!$C:$C,$C26,Checklist!$E:$E,"최적화",Checklist!$G:$G,"N"),COUNTIFS(Checklist!$A:$A,$A26,Checklist!$B:$B,$B26,Checklist!$C:$C,$C26,Checklist!$E:$E,"최적화",Checklist!$G:$G,"N"))=0),0.7+0.3*IF(H26=0,0,G26/H26),0.4+0.3*IF(F26=0,0,E26/F26))))</f>
        <v>1</v>
      </c>
    </row>
    <row r="27" spans="1:9" x14ac:dyDescent="0.45">
      <c r="A27" s="55" t="s">
        <v>212</v>
      </c>
      <c r="B27" s="55" t="s">
        <v>251</v>
      </c>
      <c r="C27" s="55" t="s">
        <v>265</v>
      </c>
      <c r="D27" s="55">
        <f>IF($B27="",COUNTIFS(Checklist!$A:$A,$A27,Checklist!$C:$C,$C27,Checklist!$E:$E,"초기",Checklist!$G:$G,"N"),COUNTIFS(Checklist!$A:$A,$A27,Checklist!$B:$B,$B27,Checklist!$C:$C,$C27,Checklist!$E:$E,"초기",Checklist!$G:$G,"N"))</f>
        <v>0</v>
      </c>
      <c r="E27" s="55">
        <f>IF($B27="",COUNTIFS(Checklist!$A:$A,$A27,Checklist!$C:$C,$C27,Checklist!$E:$E,"향상",Checklist!$G:$G,"Y"),COUNTIFS(Checklist!$A:$A,$A27,Checklist!$B:$B,$B27,Checklist!$C:$C,$C27,Checklist!$E:$E,"향상",Checklist!$G:$G,"Y"))</f>
        <v>3</v>
      </c>
      <c r="F27" s="55">
        <f>IF($B27="",COUNTIFS(Checklist!$A:$A,$A27,Checklist!$C:$C,$C27,Checklist!$E:$E,"향상",Checklist!$H:$H,"&lt;&gt;"),COUNTIFS(Checklist!$A:$A,$A27,Checklist!$B:$B,$B27,Checklist!$C:$C,$C27,Checklist!$E:$E,"향상",Checklist!$H:$H,"&lt;&gt;"))</f>
        <v>3</v>
      </c>
      <c r="G27" s="55">
        <f>IF($B27="",COUNTIFS(Checklist!$A:$A,$A27,Checklist!$C:$C,$C27,Checklist!$E:$E,"최적화",Checklist!$G:$G,"Y"),COUNTIFS(Checklist!$A:$A,$A27,Checklist!$B:$B,$B27,Checklist!$C:$C,$C27,Checklist!$E:$E,"최적화",Checklist!$G:$G,"Y"))</f>
        <v>4</v>
      </c>
      <c r="H27" s="55">
        <f>IF($B27="",COUNTIFS(Checklist!$A:$A,$A27,Checklist!$C:$C,$C27,Checklist!$E:$E,"최적화",Checklist!$H:$H,"&lt;&gt;"),COUNTIFS(Checklist!$A:$A,$A27,Checklist!$B:$B,$B27,Checklist!$C:$C,$C27,Checklist!$E:$E,"최적화",Checklist!$H:$H,"&lt;&gt;"))</f>
        <v>4</v>
      </c>
      <c r="I27" s="55">
        <f>IF(D27&gt;0,0,IF(AND(F27=0,H27=0),0.4,IF(AND(F27&gt;0,IF($B27="",COUNTIFS(Checklist!$A:$A,$A27,Checklist!$C:$C,$C27,Checklist!$E:$E,"향상",Checklist!$G:$G,"N"),COUNTIFS(Checklist!$A:$A,$A27,Checklist!$B:$B,$B27,Checklist!$C:$C,$C27,Checklist!$E:$E,"향상",Checklist!$G:$G,"N"))=0,H27&gt;0,IF($B27="",COUNTIFS(Checklist!$A:$A,$A27,Checklist!$C:$C,$C27,Checklist!$E:$E,"최적화",Checklist!$G:$G,"N"),COUNTIFS(Checklist!$A:$A,$A27,Checklist!$B:$B,$B27,Checklist!$C:$C,$C27,Checklist!$E:$E,"최적화",Checklist!$G:$G,"N"))=0),0.7+0.3*IF(H27=0,0,G27/H27),0.4+0.3*IF(F27=0,0,E27/F27))))</f>
        <v>1</v>
      </c>
    </row>
    <row r="28" spans="1:9" x14ac:dyDescent="0.45">
      <c r="A28" s="55" t="s">
        <v>212</v>
      </c>
      <c r="B28" s="55" t="s">
        <v>277</v>
      </c>
      <c r="C28" s="55" t="s">
        <v>278</v>
      </c>
      <c r="D28" s="55">
        <f>IF($B28="",COUNTIFS(Checklist!$A:$A,$A28,Checklist!$C:$C,$C28,Checklist!$E:$E,"초기",Checklist!$G:$G,"N"),COUNTIFS(Checklist!$A:$A,$A28,Checklist!$B:$B,$B28,Checklist!$C:$C,$C28,Checklist!$E:$E,"초기",Checklist!$G:$G,"N"))</f>
        <v>0</v>
      </c>
      <c r="E28" s="55">
        <f>IF($B28="",COUNTIFS(Checklist!$A:$A,$A28,Checklist!$C:$C,$C28,Checklist!$E:$E,"향상",Checklist!$G:$G,"Y"),COUNTIFS(Checklist!$A:$A,$A28,Checklist!$B:$B,$B28,Checklist!$C:$C,$C28,Checklist!$E:$E,"향상",Checklist!$G:$G,"Y"))</f>
        <v>3</v>
      </c>
      <c r="F28" s="55">
        <f>IF($B28="",COUNTIFS(Checklist!$A:$A,$A28,Checklist!$C:$C,$C28,Checklist!$E:$E,"향상",Checklist!$H:$H,"&lt;&gt;"),COUNTIFS(Checklist!$A:$A,$A28,Checklist!$B:$B,$B28,Checklist!$C:$C,$C28,Checklist!$E:$E,"향상",Checklist!$H:$H,"&lt;&gt;"))</f>
        <v>3</v>
      </c>
      <c r="G28" s="55">
        <f>IF($B28="",COUNTIFS(Checklist!$A:$A,$A28,Checklist!$C:$C,$C28,Checklist!$E:$E,"최적화",Checklist!$G:$G,"Y"),COUNTIFS(Checklist!$A:$A,$A28,Checklist!$B:$B,$B28,Checklist!$C:$C,$C28,Checklist!$E:$E,"최적화",Checklist!$G:$G,"Y"))</f>
        <v>3</v>
      </c>
      <c r="H28" s="55">
        <f>IF($B28="",COUNTIFS(Checklist!$A:$A,$A28,Checklist!$C:$C,$C28,Checklist!$E:$E,"최적화",Checklist!$H:$H,"&lt;&gt;"),COUNTIFS(Checklist!$A:$A,$A28,Checklist!$B:$B,$B28,Checklist!$C:$C,$C28,Checklist!$E:$E,"최적화",Checklist!$H:$H,"&lt;&gt;"))</f>
        <v>3</v>
      </c>
      <c r="I28" s="55">
        <f>IF(D28&gt;0,0,IF(AND(F28=0,H28=0),0.4,IF(AND(F28&gt;0,IF($B28="",COUNTIFS(Checklist!$A:$A,$A28,Checklist!$C:$C,$C28,Checklist!$E:$E,"향상",Checklist!$G:$G,"N"),COUNTIFS(Checklist!$A:$A,$A28,Checklist!$B:$B,$B28,Checklist!$C:$C,$C28,Checklist!$E:$E,"향상",Checklist!$G:$G,"N"))=0,H28&gt;0,IF($B28="",COUNTIFS(Checklist!$A:$A,$A28,Checklist!$C:$C,$C28,Checklist!$E:$E,"최적화",Checklist!$G:$G,"N"),COUNTIFS(Checklist!$A:$A,$A28,Checklist!$B:$B,$B28,Checklist!$C:$C,$C28,Checklist!$E:$E,"최적화",Checklist!$G:$G,"N"))=0),0.7+0.3*IF(H28=0,0,G28/H28),0.4+0.3*IF(F28=0,0,E28/F28))))</f>
        <v>1</v>
      </c>
    </row>
    <row r="29" spans="1:9" x14ac:dyDescent="0.45">
      <c r="A29" s="55" t="s">
        <v>212</v>
      </c>
      <c r="B29" s="55" t="s">
        <v>277</v>
      </c>
      <c r="C29" s="55" t="s">
        <v>291</v>
      </c>
      <c r="D29" s="55">
        <f>IF($B29="",COUNTIFS(Checklist!$A:$A,$A29,Checklist!$C:$C,$C29,Checklist!$E:$E,"초기",Checklist!$G:$G,"N"),COUNTIFS(Checklist!$A:$A,$A29,Checklist!$B:$B,$B29,Checklist!$C:$C,$C29,Checklist!$E:$E,"초기",Checklist!$G:$G,"N"))</f>
        <v>0</v>
      </c>
      <c r="E29" s="55">
        <f>IF($B29="",COUNTIFS(Checklist!$A:$A,$A29,Checklist!$C:$C,$C29,Checklist!$E:$E,"향상",Checklist!$G:$G,"Y"),COUNTIFS(Checklist!$A:$A,$A29,Checklist!$B:$B,$B29,Checklist!$C:$C,$C29,Checklist!$E:$E,"향상",Checklist!$G:$G,"Y"))</f>
        <v>3</v>
      </c>
      <c r="F29" s="55">
        <f>IF($B29="",COUNTIFS(Checklist!$A:$A,$A29,Checklist!$C:$C,$C29,Checklist!$E:$E,"향상",Checklist!$H:$H,"&lt;&gt;"),COUNTIFS(Checklist!$A:$A,$A29,Checklist!$B:$B,$B29,Checklist!$C:$C,$C29,Checklist!$E:$E,"향상",Checklist!$H:$H,"&lt;&gt;"))</f>
        <v>3</v>
      </c>
      <c r="G29" s="55">
        <f>IF($B29="",COUNTIFS(Checklist!$A:$A,$A29,Checklist!$C:$C,$C29,Checklist!$E:$E,"최적화",Checklist!$G:$G,"Y"),COUNTIFS(Checklist!$A:$A,$A29,Checklist!$B:$B,$B29,Checklist!$C:$C,$C29,Checklist!$E:$E,"최적화",Checklist!$G:$G,"Y"))</f>
        <v>4</v>
      </c>
      <c r="H29" s="55">
        <f>IF($B29="",COUNTIFS(Checklist!$A:$A,$A29,Checklist!$C:$C,$C29,Checklist!$E:$E,"최적화",Checklist!$H:$H,"&lt;&gt;"),COUNTIFS(Checklist!$A:$A,$A29,Checklist!$B:$B,$B29,Checklist!$C:$C,$C29,Checklist!$E:$E,"최적화",Checklist!$H:$H,"&lt;&gt;"))</f>
        <v>4</v>
      </c>
      <c r="I29" s="55">
        <f>IF(D29&gt;0,0,IF(AND(F29=0,H29=0),0.4,IF(AND(F29&gt;0,IF($B29="",COUNTIFS(Checklist!$A:$A,$A29,Checklist!$C:$C,$C29,Checklist!$E:$E,"향상",Checklist!$G:$G,"N"),COUNTIFS(Checklist!$A:$A,$A29,Checklist!$B:$B,$B29,Checklist!$C:$C,$C29,Checklist!$E:$E,"향상",Checklist!$G:$G,"N"))=0,H29&gt;0,IF($B29="",COUNTIFS(Checklist!$A:$A,$A29,Checklist!$C:$C,$C29,Checklist!$E:$E,"최적화",Checklist!$G:$G,"N"),COUNTIFS(Checklist!$A:$A,$A29,Checklist!$B:$B,$B29,Checklist!$C:$C,$C29,Checklist!$E:$E,"최적화",Checklist!$G:$G,"N"))=0),0.7+0.3*IF(H29=0,0,G29/H29),0.4+0.3*IF(F29=0,0,E29/F29))))</f>
        <v>1</v>
      </c>
    </row>
    <row r="30" spans="1:9" x14ac:dyDescent="0.45">
      <c r="A30" s="55" t="s">
        <v>302</v>
      </c>
      <c r="B30" s="55" t="s">
        <v>303</v>
      </c>
      <c r="C30" s="55" t="s">
        <v>304</v>
      </c>
      <c r="D30" s="55">
        <f>IF($B30="",COUNTIFS(Checklist!$A:$A,$A30,Checklist!$C:$C,$C30,Checklist!$E:$E,"초기",Checklist!$G:$G,"N"),COUNTIFS(Checklist!$A:$A,$A30,Checklist!$B:$B,$B30,Checklist!$C:$C,$C30,Checklist!$E:$E,"초기",Checklist!$G:$G,"N"))</f>
        <v>0</v>
      </c>
      <c r="E30" s="55">
        <f>IF($B30="",COUNTIFS(Checklist!$A:$A,$A30,Checklist!$C:$C,$C30,Checklist!$E:$E,"향상",Checklist!$G:$G,"Y"),COUNTIFS(Checklist!$A:$A,$A30,Checklist!$B:$B,$B30,Checklist!$C:$C,$C30,Checklist!$E:$E,"향상",Checklist!$G:$G,"Y"))</f>
        <v>4</v>
      </c>
      <c r="F30" s="55">
        <f>IF($B30="",COUNTIFS(Checklist!$A:$A,$A30,Checklist!$C:$C,$C30,Checklist!$E:$E,"향상",Checklist!$H:$H,"&lt;&gt;"),COUNTIFS(Checklist!$A:$A,$A30,Checklist!$B:$B,$B30,Checklist!$C:$C,$C30,Checklist!$E:$E,"향상",Checklist!$H:$H,"&lt;&gt;"))</f>
        <v>4</v>
      </c>
      <c r="G30" s="55">
        <f>IF($B30="",COUNTIFS(Checklist!$A:$A,$A30,Checklist!$C:$C,$C30,Checklist!$E:$E,"최적화",Checklist!$G:$G,"Y"),COUNTIFS(Checklist!$A:$A,$A30,Checklist!$B:$B,$B30,Checklist!$C:$C,$C30,Checklist!$E:$E,"최적화",Checklist!$G:$G,"Y"))</f>
        <v>2</v>
      </c>
      <c r="H30" s="55">
        <f>IF($B30="",COUNTIFS(Checklist!$A:$A,$A30,Checklist!$C:$C,$C30,Checklist!$E:$E,"최적화",Checklist!$H:$H,"&lt;&gt;"),COUNTIFS(Checklist!$A:$A,$A30,Checklist!$B:$B,$B30,Checklist!$C:$C,$C30,Checklist!$E:$E,"최적화",Checklist!$H:$H,"&lt;&gt;"))</f>
        <v>2</v>
      </c>
      <c r="I30" s="55">
        <f>IF(D30&gt;0,0,IF(AND(F30=0,H30=0),0.4,IF(AND(F30&gt;0,IF($B30="",COUNTIFS(Checklist!$A:$A,$A30,Checklist!$C:$C,$C30,Checklist!$E:$E,"향상",Checklist!$G:$G,"N"),COUNTIFS(Checklist!$A:$A,$A30,Checklist!$B:$B,$B30,Checklist!$C:$C,$C30,Checklist!$E:$E,"향상",Checklist!$G:$G,"N"))=0,H30&gt;0,IF($B30="",COUNTIFS(Checklist!$A:$A,$A30,Checklist!$C:$C,$C30,Checklist!$E:$E,"최적화",Checklist!$G:$G,"N"),COUNTIFS(Checklist!$A:$A,$A30,Checklist!$B:$B,$B30,Checklist!$C:$C,$C30,Checklist!$E:$E,"최적화",Checklist!$G:$G,"N"))=0),0.7+0.3*IF(H30=0,0,G30/H30),0.4+0.3*IF(F30=0,0,E30/F30))))</f>
        <v>1</v>
      </c>
    </row>
    <row r="31" spans="1:9" x14ac:dyDescent="0.45">
      <c r="A31" s="55" t="s">
        <v>302</v>
      </c>
      <c r="B31" s="55" t="s">
        <v>303</v>
      </c>
      <c r="C31" s="55" t="s">
        <v>315</v>
      </c>
      <c r="D31" s="55">
        <f>IF($B31="",COUNTIFS(Checklist!$A:$A,$A31,Checklist!$C:$C,$C31,Checklist!$E:$E,"초기",Checklist!$G:$G,"N"),COUNTIFS(Checklist!$A:$A,$A31,Checklist!$B:$B,$B31,Checklist!$C:$C,$C31,Checklist!$E:$E,"초기",Checklist!$G:$G,"N"))</f>
        <v>0</v>
      </c>
      <c r="E31" s="55">
        <f>IF($B31="",COUNTIFS(Checklist!$A:$A,$A31,Checklist!$C:$C,$C31,Checklist!$E:$E,"향상",Checklist!$G:$G,"Y"),COUNTIFS(Checklist!$A:$A,$A31,Checklist!$B:$B,$B31,Checklist!$C:$C,$C31,Checklist!$E:$E,"향상",Checklist!$G:$G,"Y"))</f>
        <v>3</v>
      </c>
      <c r="F31" s="55">
        <f>IF($B31="",COUNTIFS(Checklist!$A:$A,$A31,Checklist!$C:$C,$C31,Checklist!$E:$E,"향상",Checklist!$H:$H,"&lt;&gt;"),COUNTIFS(Checklist!$A:$A,$A31,Checklist!$B:$B,$B31,Checklist!$C:$C,$C31,Checklist!$E:$E,"향상",Checklist!$H:$H,"&lt;&gt;"))</f>
        <v>3</v>
      </c>
      <c r="G31" s="55">
        <f>IF($B31="",COUNTIFS(Checklist!$A:$A,$A31,Checklist!$C:$C,$C31,Checklist!$E:$E,"최적화",Checklist!$G:$G,"Y"),COUNTIFS(Checklist!$A:$A,$A31,Checklist!$B:$B,$B31,Checklist!$C:$C,$C31,Checklist!$E:$E,"최적화",Checklist!$G:$G,"Y"))</f>
        <v>3</v>
      </c>
      <c r="H31" s="55">
        <f>IF($B31="",COUNTIFS(Checklist!$A:$A,$A31,Checklist!$C:$C,$C31,Checklist!$E:$E,"최적화",Checklist!$H:$H,"&lt;&gt;"),COUNTIFS(Checklist!$A:$A,$A31,Checklist!$B:$B,$B31,Checklist!$C:$C,$C31,Checklist!$E:$E,"최적화",Checklist!$H:$H,"&lt;&gt;"))</f>
        <v>3</v>
      </c>
      <c r="I31" s="55">
        <f>IF(D31&gt;0,0,IF(AND(F31=0,H31=0),0.4,IF(AND(F31&gt;0,IF($B31="",COUNTIFS(Checklist!$A:$A,$A31,Checklist!$C:$C,$C31,Checklist!$E:$E,"향상",Checklist!$G:$G,"N"),COUNTIFS(Checklist!$A:$A,$A31,Checklist!$B:$B,$B31,Checklist!$C:$C,$C31,Checklist!$E:$E,"향상",Checklist!$G:$G,"N"))=0,H31&gt;0,IF($B31="",COUNTIFS(Checklist!$A:$A,$A31,Checklist!$C:$C,$C31,Checklist!$E:$E,"최적화",Checklist!$G:$G,"N"),COUNTIFS(Checklist!$A:$A,$A31,Checklist!$B:$B,$B31,Checklist!$C:$C,$C31,Checklist!$E:$E,"최적화",Checklist!$G:$G,"N"))=0),0.7+0.3*IF(H31=0,0,G31/H31),0.4+0.3*IF(F31=0,0,E31/F31))))</f>
        <v>1</v>
      </c>
    </row>
    <row r="32" spans="1:9" x14ac:dyDescent="0.45">
      <c r="A32" s="55" t="s">
        <v>302</v>
      </c>
      <c r="B32" s="55" t="s">
        <v>326</v>
      </c>
      <c r="C32" s="55" t="s">
        <v>99</v>
      </c>
      <c r="D32" s="55">
        <f>IF($B32="",COUNTIFS(Checklist!$A:$A,$A32,Checklist!$C:$C,$C32,Checklist!$E:$E,"초기",Checklist!$G:$G,"N"),COUNTIFS(Checklist!$A:$A,$A32,Checklist!$B:$B,$B32,Checklist!$C:$C,$C32,Checklist!$E:$E,"초기",Checklist!$G:$G,"N"))</f>
        <v>0</v>
      </c>
      <c r="E32" s="55">
        <f>IF($B32="",COUNTIFS(Checklist!$A:$A,$A32,Checklist!$C:$C,$C32,Checklist!$E:$E,"향상",Checklist!$G:$G,"Y"),COUNTIFS(Checklist!$A:$A,$A32,Checklist!$B:$B,$B32,Checklist!$C:$C,$C32,Checklist!$E:$E,"향상",Checklist!$G:$G,"Y"))</f>
        <v>2</v>
      </c>
      <c r="F32" s="55">
        <f>IF($B32="",COUNTIFS(Checklist!$A:$A,$A32,Checklist!$C:$C,$C32,Checklist!$E:$E,"향상",Checklist!$H:$H,"&lt;&gt;"),COUNTIFS(Checklist!$A:$A,$A32,Checklist!$B:$B,$B32,Checklist!$C:$C,$C32,Checklist!$E:$E,"향상",Checklist!$H:$H,"&lt;&gt;"))</f>
        <v>2</v>
      </c>
      <c r="G32" s="55">
        <f>IF($B32="",COUNTIFS(Checklist!$A:$A,$A32,Checklist!$C:$C,$C32,Checklist!$E:$E,"최적화",Checklist!$G:$G,"Y"),COUNTIFS(Checklist!$A:$A,$A32,Checklist!$B:$B,$B32,Checklist!$C:$C,$C32,Checklist!$E:$E,"최적화",Checklist!$G:$G,"Y"))</f>
        <v>2</v>
      </c>
      <c r="H32" s="55">
        <f>IF($B32="",COUNTIFS(Checklist!$A:$A,$A32,Checklist!$C:$C,$C32,Checklist!$E:$E,"최적화",Checklist!$H:$H,"&lt;&gt;"),COUNTIFS(Checklist!$A:$A,$A32,Checklist!$B:$B,$B32,Checklist!$C:$C,$C32,Checklist!$E:$E,"최적화",Checklist!$H:$H,"&lt;&gt;"))</f>
        <v>2</v>
      </c>
      <c r="I32" s="55">
        <f>IF(D32&gt;0,0,IF(AND(F32=0,H32=0),0.4,IF(AND(F32&gt;0,IF($B32="",COUNTIFS(Checklist!$A:$A,$A32,Checklist!$C:$C,$C32,Checklist!$E:$E,"향상",Checklist!$G:$G,"N"),COUNTIFS(Checklist!$A:$A,$A32,Checklist!$B:$B,$B32,Checklist!$C:$C,$C32,Checklist!$E:$E,"향상",Checklist!$G:$G,"N"))=0,H32&gt;0,IF($B32="",COUNTIFS(Checklist!$A:$A,$A32,Checklist!$C:$C,$C32,Checklist!$E:$E,"최적화",Checklist!$G:$G,"N"),COUNTIFS(Checklist!$A:$A,$A32,Checklist!$B:$B,$B32,Checklist!$C:$C,$C32,Checklist!$E:$E,"최적화",Checklist!$G:$G,"N"))=0),0.7+0.3*IF(H32=0,0,G32/H32),0.4+0.3*IF(F32=0,0,E32/F32))))</f>
        <v>1</v>
      </c>
    </row>
    <row r="33" spans="1:9" x14ac:dyDescent="0.45">
      <c r="A33" s="55" t="s">
        <v>302</v>
      </c>
      <c r="B33" s="55" t="s">
        <v>334</v>
      </c>
      <c r="C33" s="55" t="s">
        <v>335</v>
      </c>
      <c r="D33" s="55">
        <f>IF($B33="",COUNTIFS(Checklist!$A:$A,$A33,Checklist!$C:$C,$C33,Checklist!$E:$E,"초기",Checklist!$G:$G,"N"),COUNTIFS(Checklist!$A:$A,$A33,Checklist!$B:$B,$B33,Checklist!$C:$C,$C33,Checklist!$E:$E,"초기",Checklist!$G:$G,"N"))</f>
        <v>0</v>
      </c>
      <c r="E33" s="55">
        <f>IF($B33="",COUNTIFS(Checklist!$A:$A,$A33,Checklist!$C:$C,$C33,Checklist!$E:$E,"향상",Checklist!$G:$G,"Y"),COUNTIFS(Checklist!$A:$A,$A33,Checklist!$B:$B,$B33,Checklist!$C:$C,$C33,Checklist!$E:$E,"향상",Checklist!$G:$G,"Y"))</f>
        <v>3</v>
      </c>
      <c r="F33" s="55">
        <f>IF($B33="",COUNTIFS(Checklist!$A:$A,$A33,Checklist!$C:$C,$C33,Checklist!$E:$E,"향상",Checklist!$H:$H,"&lt;&gt;"),COUNTIFS(Checklist!$A:$A,$A33,Checklist!$B:$B,$B33,Checklist!$C:$C,$C33,Checklist!$E:$E,"향상",Checklist!$H:$H,"&lt;&gt;"))</f>
        <v>3</v>
      </c>
      <c r="G33" s="55">
        <f>IF($B33="",COUNTIFS(Checklist!$A:$A,$A33,Checklist!$C:$C,$C33,Checklist!$E:$E,"최적화",Checklist!$G:$G,"Y"),COUNTIFS(Checklist!$A:$A,$A33,Checklist!$B:$B,$B33,Checklist!$C:$C,$C33,Checklist!$E:$E,"최적화",Checklist!$G:$G,"Y"))</f>
        <v>2</v>
      </c>
      <c r="H33" s="55">
        <f>IF($B33="",COUNTIFS(Checklist!$A:$A,$A33,Checklist!$C:$C,$C33,Checklist!$E:$E,"최적화",Checklist!$H:$H,"&lt;&gt;"),COUNTIFS(Checklist!$A:$A,$A33,Checklist!$B:$B,$B33,Checklist!$C:$C,$C33,Checklist!$E:$E,"최적화",Checklist!$H:$H,"&lt;&gt;"))</f>
        <v>2</v>
      </c>
      <c r="I33" s="55">
        <f>IF(D33&gt;0,0,IF(AND(F33=0,H33=0),0.4,IF(AND(F33&gt;0,IF($B33="",COUNTIFS(Checklist!$A:$A,$A33,Checklist!$C:$C,$C33,Checklist!$E:$E,"향상",Checklist!$G:$G,"N"),COUNTIFS(Checklist!$A:$A,$A33,Checklist!$B:$B,$B33,Checklist!$C:$C,$C33,Checklist!$E:$E,"향상",Checklist!$G:$G,"N"))=0,H33&gt;0,IF($B33="",COUNTIFS(Checklist!$A:$A,$A33,Checklist!$C:$C,$C33,Checklist!$E:$E,"최적화",Checklist!$G:$G,"N"),COUNTIFS(Checklist!$A:$A,$A33,Checklist!$B:$B,$B33,Checklist!$C:$C,$C33,Checklist!$E:$E,"최적화",Checklist!$G:$G,"N"))=0),0.7+0.3*IF(H33=0,0,G33/H33),0.4+0.3*IF(F33=0,0,E33/F33))))</f>
        <v>1</v>
      </c>
    </row>
    <row r="34" spans="1:9" x14ac:dyDescent="0.45">
      <c r="A34" s="55" t="s">
        <v>302</v>
      </c>
      <c r="B34" s="55" t="s">
        <v>345</v>
      </c>
      <c r="C34" s="55" t="s">
        <v>346</v>
      </c>
      <c r="D34" s="55">
        <f>IF($B34="",COUNTIFS(Checklist!$A:$A,$A34,Checklist!$C:$C,$C34,Checklist!$E:$E,"초기",Checklist!$G:$G,"N"),COUNTIFS(Checklist!$A:$A,$A34,Checklist!$B:$B,$B34,Checklist!$C:$C,$C34,Checklist!$E:$E,"초기",Checklist!$G:$G,"N"))</f>
        <v>0</v>
      </c>
      <c r="E34" s="55">
        <f>IF($B34="",COUNTIFS(Checklist!$A:$A,$A34,Checklist!$C:$C,$C34,Checklist!$E:$E,"향상",Checklist!$G:$G,"Y"),COUNTIFS(Checklist!$A:$A,$A34,Checklist!$B:$B,$B34,Checklist!$C:$C,$C34,Checklist!$E:$E,"향상",Checklist!$G:$G,"Y"))</f>
        <v>3</v>
      </c>
      <c r="F34" s="55">
        <f>IF($B34="",COUNTIFS(Checklist!$A:$A,$A34,Checklist!$C:$C,$C34,Checklist!$E:$E,"향상",Checklist!$H:$H,"&lt;&gt;"),COUNTIFS(Checklist!$A:$A,$A34,Checklist!$B:$B,$B34,Checklist!$C:$C,$C34,Checklist!$E:$E,"향상",Checklist!$H:$H,"&lt;&gt;"))</f>
        <v>3</v>
      </c>
      <c r="G34" s="55">
        <f>IF($B34="",COUNTIFS(Checklist!$A:$A,$A34,Checklist!$C:$C,$C34,Checklist!$E:$E,"최적화",Checklist!$G:$G,"Y"),COUNTIFS(Checklist!$A:$A,$A34,Checklist!$B:$B,$B34,Checklist!$C:$C,$C34,Checklist!$E:$E,"최적화",Checklist!$G:$G,"Y"))</f>
        <v>4</v>
      </c>
      <c r="H34" s="55">
        <f>IF($B34="",COUNTIFS(Checklist!$A:$A,$A34,Checklist!$C:$C,$C34,Checklist!$E:$E,"최적화",Checklist!$H:$H,"&lt;&gt;"),COUNTIFS(Checklist!$A:$A,$A34,Checklist!$B:$B,$B34,Checklist!$C:$C,$C34,Checklist!$E:$E,"최적화",Checklist!$H:$H,"&lt;&gt;"))</f>
        <v>4</v>
      </c>
      <c r="I34" s="55">
        <f>IF(D34&gt;0,0,IF(AND(F34=0,H34=0),0.4,IF(AND(F34&gt;0,IF($B34="",COUNTIFS(Checklist!$A:$A,$A34,Checklist!$C:$C,$C34,Checklist!$E:$E,"향상",Checklist!$G:$G,"N"),COUNTIFS(Checklist!$A:$A,$A34,Checklist!$B:$B,$B34,Checklist!$C:$C,$C34,Checklist!$E:$E,"향상",Checklist!$G:$G,"N"))=0,H34&gt;0,IF($B34="",COUNTIFS(Checklist!$A:$A,$A34,Checklist!$C:$C,$C34,Checklist!$E:$E,"최적화",Checklist!$G:$G,"N"),COUNTIFS(Checklist!$A:$A,$A34,Checklist!$B:$B,$B34,Checklist!$C:$C,$C34,Checklist!$E:$E,"최적화",Checklist!$G:$G,"N"))=0),0.7+0.3*IF(H34=0,0,G34/H34),0.4+0.3*IF(F34=0,0,E34/F34))))</f>
        <v>1</v>
      </c>
    </row>
    <row r="35" spans="1:9" x14ac:dyDescent="0.45">
      <c r="A35" s="55" t="s">
        <v>302</v>
      </c>
      <c r="B35" s="55" t="s">
        <v>357</v>
      </c>
      <c r="C35" s="55" t="s">
        <v>358</v>
      </c>
      <c r="D35" s="55">
        <f>IF($B35="",COUNTIFS(Checklist!$A:$A,$A35,Checklist!$C:$C,$C35,Checklist!$E:$E,"초기",Checklist!$G:$G,"N"),COUNTIFS(Checklist!$A:$A,$A35,Checklist!$B:$B,$B35,Checklist!$C:$C,$C35,Checklist!$E:$E,"초기",Checklist!$G:$G,"N"))</f>
        <v>0</v>
      </c>
      <c r="E35" s="55">
        <f>IF($B35="",COUNTIFS(Checklist!$A:$A,$A35,Checklist!$C:$C,$C35,Checklist!$E:$E,"향상",Checklist!$G:$G,"Y"),COUNTIFS(Checklist!$A:$A,$A35,Checklist!$B:$B,$B35,Checklist!$C:$C,$C35,Checklist!$E:$E,"향상",Checklist!$G:$G,"Y"))</f>
        <v>3</v>
      </c>
      <c r="F35" s="55">
        <f>IF($B35="",COUNTIFS(Checklist!$A:$A,$A35,Checklist!$C:$C,$C35,Checklist!$E:$E,"향상",Checklist!$H:$H,"&lt;&gt;"),COUNTIFS(Checklist!$A:$A,$A35,Checklist!$B:$B,$B35,Checklist!$C:$C,$C35,Checklist!$E:$E,"향상",Checklist!$H:$H,"&lt;&gt;"))</f>
        <v>3</v>
      </c>
      <c r="G35" s="55">
        <f>IF($B35="",COUNTIFS(Checklist!$A:$A,$A35,Checklist!$C:$C,$C35,Checklist!$E:$E,"최적화",Checklist!$G:$G,"Y"),COUNTIFS(Checklist!$A:$A,$A35,Checklist!$B:$B,$B35,Checklist!$C:$C,$C35,Checklist!$E:$E,"최적화",Checklist!$G:$G,"Y"))</f>
        <v>4</v>
      </c>
      <c r="H35" s="55">
        <f>IF($B35="",COUNTIFS(Checklist!$A:$A,$A35,Checklist!$C:$C,$C35,Checklist!$E:$E,"최적화",Checklist!$H:$H,"&lt;&gt;"),COUNTIFS(Checklist!$A:$A,$A35,Checklist!$B:$B,$B35,Checklist!$C:$C,$C35,Checklist!$E:$E,"최적화",Checklist!$H:$H,"&lt;&gt;"))</f>
        <v>4</v>
      </c>
      <c r="I35" s="55">
        <f>IF(D35&gt;0,0,IF(AND(F35=0,H35=0),0.4,IF(AND(F35&gt;0,IF($B35="",COUNTIFS(Checklist!$A:$A,$A35,Checklist!$C:$C,$C35,Checklist!$E:$E,"향상",Checklist!$G:$G,"N"),COUNTIFS(Checklist!$A:$A,$A35,Checklist!$B:$B,$B35,Checklist!$C:$C,$C35,Checklist!$E:$E,"향상",Checklist!$G:$G,"N"))=0,H35&gt;0,IF($B35="",COUNTIFS(Checklist!$A:$A,$A35,Checklist!$C:$C,$C35,Checklist!$E:$E,"최적화",Checklist!$G:$G,"N"),COUNTIFS(Checklist!$A:$A,$A35,Checklist!$B:$B,$B35,Checklist!$C:$C,$C35,Checklist!$E:$E,"최적화",Checklist!$G:$G,"N"))=0),0.7+0.3*IF(H35=0,0,G35/H35),0.4+0.3*IF(F35=0,0,E35/F35))))</f>
        <v>1</v>
      </c>
    </row>
    <row r="36" spans="1:9" x14ac:dyDescent="0.45">
      <c r="A36" s="55" t="s">
        <v>302</v>
      </c>
      <c r="B36" s="55" t="s">
        <v>357</v>
      </c>
      <c r="C36" s="55" t="s">
        <v>370</v>
      </c>
      <c r="D36" s="55">
        <f>IF($B36="",COUNTIFS(Checklist!$A:$A,$A36,Checklist!$C:$C,$C36,Checklist!$E:$E,"초기",Checklist!$G:$G,"N"),COUNTIFS(Checklist!$A:$A,$A36,Checklist!$B:$B,$B36,Checklist!$C:$C,$C36,Checklist!$E:$E,"초기",Checklist!$G:$G,"N"))</f>
        <v>0</v>
      </c>
      <c r="E36" s="55">
        <f>IF($B36="",COUNTIFS(Checklist!$A:$A,$A36,Checklist!$C:$C,$C36,Checklist!$E:$E,"향상",Checklist!$G:$G,"Y"),COUNTIFS(Checklist!$A:$A,$A36,Checklist!$B:$B,$B36,Checklist!$C:$C,$C36,Checklist!$E:$E,"향상",Checklist!$G:$G,"Y"))</f>
        <v>3</v>
      </c>
      <c r="F36" s="55">
        <f>IF($B36="",COUNTIFS(Checklist!$A:$A,$A36,Checklist!$C:$C,$C36,Checklist!$E:$E,"향상",Checklist!$H:$H,"&lt;&gt;"),COUNTIFS(Checklist!$A:$A,$A36,Checklist!$B:$B,$B36,Checklist!$C:$C,$C36,Checklist!$E:$E,"향상",Checklist!$H:$H,"&lt;&gt;"))</f>
        <v>3</v>
      </c>
      <c r="G36" s="55">
        <f>IF($B36="",COUNTIFS(Checklist!$A:$A,$A36,Checklist!$C:$C,$C36,Checklist!$E:$E,"최적화",Checklist!$G:$G,"Y"),COUNTIFS(Checklist!$A:$A,$A36,Checklist!$B:$B,$B36,Checklist!$C:$C,$C36,Checklist!$E:$E,"최적화",Checklist!$G:$G,"Y"))</f>
        <v>3</v>
      </c>
      <c r="H36" s="55">
        <f>IF($B36="",COUNTIFS(Checklist!$A:$A,$A36,Checklist!$C:$C,$C36,Checklist!$E:$E,"최적화",Checklist!$H:$H,"&lt;&gt;"),COUNTIFS(Checklist!$A:$A,$A36,Checklist!$B:$B,$B36,Checklist!$C:$C,$C36,Checklist!$E:$E,"최적화",Checklist!$H:$H,"&lt;&gt;"))</f>
        <v>3</v>
      </c>
      <c r="I36" s="55">
        <f>IF(D36&gt;0,0,IF(AND(F36=0,H36=0),0.4,IF(AND(F36&gt;0,IF($B36="",COUNTIFS(Checklist!$A:$A,$A36,Checklist!$C:$C,$C36,Checklist!$E:$E,"향상",Checklist!$G:$G,"N"),COUNTIFS(Checklist!$A:$A,$A36,Checklist!$B:$B,$B36,Checklist!$C:$C,$C36,Checklist!$E:$E,"향상",Checklist!$G:$G,"N"))=0,H36&gt;0,IF($B36="",COUNTIFS(Checklist!$A:$A,$A36,Checklist!$C:$C,$C36,Checklist!$E:$E,"최적화",Checklist!$G:$G,"N"),COUNTIFS(Checklist!$A:$A,$A36,Checklist!$B:$B,$B36,Checklist!$C:$C,$C36,Checklist!$E:$E,"최적화",Checklist!$G:$G,"N"))=0),0.7+0.3*IF(H36=0,0,G36/H36),0.4+0.3*IF(F36=0,0,E36/F36))))</f>
        <v>1</v>
      </c>
    </row>
    <row r="37" spans="1:9" x14ac:dyDescent="0.45">
      <c r="A37" s="55" t="s">
        <v>381</v>
      </c>
      <c r="B37" s="55"/>
      <c r="C37" s="55" t="s">
        <v>382</v>
      </c>
      <c r="D37" s="55">
        <f>IF($B37="",COUNTIFS(Checklist!$A:$A,$A37,Checklist!$C:$C,$C37,Checklist!$E:$E,"초기",Checklist!$G:$G,"N"),COUNTIFS(Checklist!$A:$A,$A37,Checklist!$B:$B,$B37,Checklist!$C:$C,$C37,Checklist!$E:$E,"초기",Checklist!$G:$G,"N"))</f>
        <v>0</v>
      </c>
      <c r="E37" s="55">
        <f>IF($B37="",COUNTIFS(Checklist!$A:$A,$A37,Checklist!$C:$C,$C37,Checklist!$E:$E,"향상",Checklist!$G:$G,"Y"),COUNTIFS(Checklist!$A:$A,$A37,Checklist!$B:$B,$B37,Checklist!$C:$C,$C37,Checklist!$E:$E,"향상",Checklist!$G:$G,"Y"))</f>
        <v>4</v>
      </c>
      <c r="F37" s="55">
        <f>IF($B37="",COUNTIFS(Checklist!$A:$A,$A37,Checklist!$C:$C,$C37,Checklist!$E:$E,"향상",Checklist!$H:$H,"&lt;&gt;"),COUNTIFS(Checklist!$A:$A,$A37,Checklist!$B:$B,$B37,Checklist!$C:$C,$C37,Checklist!$E:$E,"향상",Checklist!$H:$H,"&lt;&gt;"))</f>
        <v>4</v>
      </c>
      <c r="G37" s="55">
        <f>IF($B37="",COUNTIFS(Checklist!$A:$A,$A37,Checklist!$C:$C,$C37,Checklist!$E:$E,"최적화",Checklist!$G:$G,"Y"),COUNTIFS(Checklist!$A:$A,$A37,Checklist!$B:$B,$B37,Checklist!$C:$C,$C37,Checklist!$E:$E,"최적화",Checklist!$G:$G,"Y"))</f>
        <v>5</v>
      </c>
      <c r="H37" s="55">
        <f>IF($B37="",COUNTIFS(Checklist!$A:$A,$A37,Checklist!$C:$C,$C37,Checklist!$E:$E,"최적화",Checklist!$H:$H,"&lt;&gt;"),COUNTIFS(Checklist!$A:$A,$A37,Checklist!$B:$B,$B37,Checklist!$C:$C,$C37,Checklist!$E:$E,"최적화",Checklist!$H:$H,"&lt;&gt;"))</f>
        <v>5</v>
      </c>
      <c r="I37" s="55">
        <f>IF(D37&gt;0,0,IF(AND(F37=0,H37=0),0.4,IF(AND(F37&gt;0,IF($B37="",COUNTIFS(Checklist!$A:$A,$A37,Checklist!$C:$C,$C37,Checklist!$E:$E,"향상",Checklist!$G:$G,"N"),COUNTIFS(Checklist!$A:$A,$A37,Checklist!$B:$B,$B37,Checklist!$C:$C,$C37,Checklist!$E:$E,"향상",Checklist!$G:$G,"N"))=0,H37&gt;0,IF($B37="",COUNTIFS(Checklist!$A:$A,$A37,Checklist!$C:$C,$C37,Checklist!$E:$E,"최적화",Checklist!$G:$G,"N"),COUNTIFS(Checklist!$A:$A,$A37,Checklist!$B:$B,$B37,Checklist!$C:$C,$C37,Checklist!$E:$E,"최적화",Checklist!$G:$G,"N"))=0),0.7+0.3*IF(H37=0,0,G37/H37),0.4+0.3*IF(F37=0,0,E37/F37))))</f>
        <v>1</v>
      </c>
    </row>
    <row r="38" spans="1:9" x14ac:dyDescent="0.45">
      <c r="A38" s="55" t="s">
        <v>381</v>
      </c>
      <c r="B38" s="55"/>
      <c r="C38" s="55" t="s">
        <v>398</v>
      </c>
      <c r="D38" s="55">
        <f>IF($B38="",COUNTIFS(Checklist!$A:$A,$A38,Checklist!$C:$C,$C38,Checklist!$E:$E,"초기",Checklist!$G:$G,"N"),COUNTIFS(Checklist!$A:$A,$A38,Checklist!$B:$B,$B38,Checklist!$C:$C,$C38,Checklist!$E:$E,"초기",Checklist!$G:$G,"N"))</f>
        <v>0</v>
      </c>
      <c r="E38" s="55">
        <f>IF($B38="",COUNTIFS(Checklist!$A:$A,$A38,Checklist!$C:$C,$C38,Checklist!$E:$E,"향상",Checklist!$G:$G,"Y"),COUNTIFS(Checklist!$A:$A,$A38,Checklist!$B:$B,$B38,Checklist!$C:$C,$C38,Checklist!$E:$E,"향상",Checklist!$G:$G,"Y"))</f>
        <v>2</v>
      </c>
      <c r="F38" s="55">
        <f>IF($B38="",COUNTIFS(Checklist!$A:$A,$A38,Checklist!$C:$C,$C38,Checklist!$E:$E,"향상",Checklist!$H:$H,"&lt;&gt;"),COUNTIFS(Checklist!$A:$A,$A38,Checklist!$B:$B,$B38,Checklist!$C:$C,$C38,Checklist!$E:$E,"향상",Checklist!$H:$H,"&lt;&gt;"))</f>
        <v>2</v>
      </c>
      <c r="G38" s="55">
        <f>IF($B38="",COUNTIFS(Checklist!$A:$A,$A38,Checklist!$C:$C,$C38,Checklist!$E:$E,"최적화",Checklist!$G:$G,"Y"),COUNTIFS(Checklist!$A:$A,$A38,Checklist!$B:$B,$B38,Checklist!$C:$C,$C38,Checklist!$E:$E,"최적화",Checklist!$G:$G,"Y"))</f>
        <v>3</v>
      </c>
      <c r="H38" s="55">
        <f>IF($B38="",COUNTIFS(Checklist!$A:$A,$A38,Checklist!$C:$C,$C38,Checklist!$E:$E,"최적화",Checklist!$H:$H,"&lt;&gt;"),COUNTIFS(Checklist!$A:$A,$A38,Checklist!$B:$B,$B38,Checklist!$C:$C,$C38,Checklist!$E:$E,"최적화",Checklist!$H:$H,"&lt;&gt;"))</f>
        <v>3</v>
      </c>
      <c r="I38" s="55">
        <f>IF(D38&gt;0,0,IF(AND(F38=0,H38=0),0.4,IF(AND(F38&gt;0,IF($B38="",COUNTIFS(Checklist!$A:$A,$A38,Checklist!$C:$C,$C38,Checklist!$E:$E,"향상",Checklist!$G:$G,"N"),COUNTIFS(Checklist!$A:$A,$A38,Checklist!$B:$B,$B38,Checklist!$C:$C,$C38,Checklist!$E:$E,"향상",Checklist!$G:$G,"N"))=0,H38&gt;0,IF($B38="",COUNTIFS(Checklist!$A:$A,$A38,Checklist!$C:$C,$C38,Checklist!$E:$E,"최적화",Checklist!$G:$G,"N"),COUNTIFS(Checklist!$A:$A,$A38,Checklist!$B:$B,$B38,Checklist!$C:$C,$C38,Checklist!$E:$E,"최적화",Checklist!$G:$G,"N"))=0),0.7+0.3*IF(H38=0,0,G38/H38),0.4+0.3*IF(F38=0,0,E38/F38))))</f>
        <v>1</v>
      </c>
    </row>
    <row r="39" spans="1:9" x14ac:dyDescent="0.45">
      <c r="A39" s="55" t="s">
        <v>381</v>
      </c>
      <c r="B39" s="55"/>
      <c r="C39" s="55" t="s">
        <v>408</v>
      </c>
      <c r="D39" s="55">
        <f>IF($B39="",COUNTIFS(Checklist!$A:$A,$A39,Checklist!$C:$C,$C39,Checklist!$E:$E,"초기",Checklist!$G:$G,"N"),COUNTIFS(Checklist!$A:$A,$A39,Checklist!$B:$B,$B39,Checklist!$C:$C,$C39,Checklist!$E:$E,"초기",Checklist!$G:$G,"N"))</f>
        <v>0</v>
      </c>
      <c r="E39" s="55">
        <f>IF($B39="",COUNTIFS(Checklist!$A:$A,$A39,Checklist!$C:$C,$C39,Checklist!$E:$E,"향상",Checklist!$G:$G,"Y"),COUNTIFS(Checklist!$A:$A,$A39,Checklist!$B:$B,$B39,Checklist!$C:$C,$C39,Checklist!$E:$E,"향상",Checklist!$G:$G,"Y"))</f>
        <v>3</v>
      </c>
      <c r="F39" s="55">
        <f>IF($B39="",COUNTIFS(Checklist!$A:$A,$A39,Checklist!$C:$C,$C39,Checklist!$E:$E,"향상",Checklist!$H:$H,"&lt;&gt;"),COUNTIFS(Checklist!$A:$A,$A39,Checklist!$B:$B,$B39,Checklist!$C:$C,$C39,Checklist!$E:$E,"향상",Checklist!$H:$H,"&lt;&gt;"))</f>
        <v>3</v>
      </c>
      <c r="G39" s="55">
        <f>IF($B39="",COUNTIFS(Checklist!$A:$A,$A39,Checklist!$C:$C,$C39,Checklist!$E:$E,"최적화",Checklist!$G:$G,"Y"),COUNTIFS(Checklist!$A:$A,$A39,Checklist!$B:$B,$B39,Checklist!$C:$C,$C39,Checklist!$E:$E,"최적화",Checklist!$G:$G,"Y"))</f>
        <v>3</v>
      </c>
      <c r="H39" s="55">
        <f>IF($B39="",COUNTIFS(Checklist!$A:$A,$A39,Checklist!$C:$C,$C39,Checklist!$E:$E,"최적화",Checklist!$H:$H,"&lt;&gt;"),COUNTIFS(Checklist!$A:$A,$A39,Checklist!$B:$B,$B39,Checklist!$C:$C,$C39,Checklist!$E:$E,"최적화",Checklist!$H:$H,"&lt;&gt;"))</f>
        <v>3</v>
      </c>
      <c r="I39" s="55">
        <f>IF(D39&gt;0,0,IF(AND(F39=0,H39=0),0.4,IF(AND(F39&gt;0,IF($B39="",COUNTIFS(Checklist!$A:$A,$A39,Checklist!$C:$C,$C39,Checklist!$E:$E,"향상",Checklist!$G:$G,"N"),COUNTIFS(Checklist!$A:$A,$A39,Checklist!$B:$B,$B39,Checklist!$C:$C,$C39,Checklist!$E:$E,"향상",Checklist!$G:$G,"N"))=0,H39&gt;0,IF($B39="",COUNTIFS(Checklist!$A:$A,$A39,Checklist!$C:$C,$C39,Checklist!$E:$E,"최적화",Checklist!$G:$G,"N"),COUNTIFS(Checklist!$A:$A,$A39,Checklist!$B:$B,$B39,Checklist!$C:$C,$C39,Checklist!$E:$E,"최적화",Checklist!$G:$G,"N"))=0),0.7+0.3*IF(H39=0,0,G39/H39),0.4+0.3*IF(F39=0,0,E39/F39))))</f>
        <v>1</v>
      </c>
    </row>
    <row r="40" spans="1:9" x14ac:dyDescent="0.45">
      <c r="A40" s="55" t="s">
        <v>381</v>
      </c>
      <c r="B40" s="55"/>
      <c r="C40" s="55" t="s">
        <v>418</v>
      </c>
      <c r="D40" s="55">
        <f>IF($B40="",COUNTIFS(Checklist!$A:$A,$A40,Checklist!$C:$C,$C40,Checklist!$E:$E,"초기",Checklist!$G:$G,"N"),COUNTIFS(Checklist!$A:$A,$A40,Checklist!$B:$B,$B40,Checklist!$C:$C,$C40,Checklist!$E:$E,"초기",Checklist!$G:$G,"N"))</f>
        <v>0</v>
      </c>
      <c r="E40" s="55">
        <f>IF($B40="",COUNTIFS(Checklist!$A:$A,$A40,Checklist!$C:$C,$C40,Checklist!$E:$E,"향상",Checklist!$G:$G,"Y"),COUNTIFS(Checklist!$A:$A,$A40,Checklist!$B:$B,$B40,Checklist!$C:$C,$C40,Checklist!$E:$E,"향상",Checklist!$G:$G,"Y"))</f>
        <v>4</v>
      </c>
      <c r="F40" s="55">
        <f>IF($B40="",COUNTIFS(Checklist!$A:$A,$A40,Checklist!$C:$C,$C40,Checklist!$E:$E,"향상",Checklist!$H:$H,"&lt;&gt;"),COUNTIFS(Checklist!$A:$A,$A40,Checklist!$B:$B,$B40,Checklist!$C:$C,$C40,Checklist!$E:$E,"향상",Checklist!$H:$H,"&lt;&gt;"))</f>
        <v>4</v>
      </c>
      <c r="G40" s="55">
        <f>IF($B40="",COUNTIFS(Checklist!$A:$A,$A40,Checklist!$C:$C,$C40,Checklist!$E:$E,"최적화",Checklist!$G:$G,"Y"),COUNTIFS(Checklist!$A:$A,$A40,Checklist!$B:$B,$B40,Checklist!$C:$C,$C40,Checklist!$E:$E,"최적화",Checklist!$G:$G,"Y"))</f>
        <v>3</v>
      </c>
      <c r="H40" s="55">
        <f>IF($B40="",COUNTIFS(Checklist!$A:$A,$A40,Checklist!$C:$C,$C40,Checklist!$E:$E,"최적화",Checklist!$H:$H,"&lt;&gt;"),COUNTIFS(Checklist!$A:$A,$A40,Checklist!$B:$B,$B40,Checklist!$C:$C,$C40,Checklist!$E:$E,"최적화",Checklist!$H:$H,"&lt;&gt;"))</f>
        <v>3</v>
      </c>
      <c r="I40" s="55">
        <f>IF(D40&gt;0,0,IF(AND(F40=0,H40=0),0.4,IF(AND(F40&gt;0,IF($B40="",COUNTIFS(Checklist!$A:$A,$A40,Checklist!$C:$C,$C40,Checklist!$E:$E,"향상",Checklist!$G:$G,"N"),COUNTIFS(Checklist!$A:$A,$A40,Checklist!$B:$B,$B40,Checklist!$C:$C,$C40,Checklist!$E:$E,"향상",Checklist!$G:$G,"N"))=0,H40&gt;0,IF($B40="",COUNTIFS(Checklist!$A:$A,$A40,Checklist!$C:$C,$C40,Checklist!$E:$E,"최적화",Checklist!$G:$G,"N"),COUNTIFS(Checklist!$A:$A,$A40,Checklist!$B:$B,$B40,Checklist!$C:$C,$C40,Checklist!$E:$E,"최적화",Checklist!$G:$G,"N"))=0),0.7+0.3*IF(H40=0,0,G40/H40),0.4+0.3*IF(F40=0,0,E40/F40))))</f>
        <v>1</v>
      </c>
    </row>
    <row r="41" spans="1:9" x14ac:dyDescent="0.45">
      <c r="A41" s="55" t="s">
        <v>381</v>
      </c>
      <c r="B41" s="55"/>
      <c r="C41" s="55" t="s">
        <v>431</v>
      </c>
      <c r="D41" s="55">
        <f>IF($B41="",COUNTIFS(Checklist!$A:$A,$A41,Checklist!$C:$C,$C41,Checklist!$E:$E,"초기",Checklist!$G:$G,"N"),COUNTIFS(Checklist!$A:$A,$A41,Checklist!$B:$B,$B41,Checklist!$C:$C,$C41,Checklist!$E:$E,"초기",Checklist!$G:$G,"N"))</f>
        <v>0</v>
      </c>
      <c r="E41" s="55">
        <f>IF($B41="",COUNTIFS(Checklist!$A:$A,$A41,Checklist!$C:$C,$C41,Checklist!$E:$E,"향상",Checklist!$G:$G,"Y"),COUNTIFS(Checklist!$A:$A,$A41,Checklist!$B:$B,$B41,Checklist!$C:$C,$C41,Checklist!$E:$E,"향상",Checklist!$G:$G,"Y"))</f>
        <v>2</v>
      </c>
      <c r="F41" s="55">
        <f>IF($B41="",COUNTIFS(Checklist!$A:$A,$A41,Checklist!$C:$C,$C41,Checklist!$E:$E,"향상",Checklist!$H:$H,"&lt;&gt;"),COUNTIFS(Checklist!$A:$A,$A41,Checklist!$B:$B,$B41,Checklist!$C:$C,$C41,Checklist!$E:$E,"향상",Checklist!$H:$H,"&lt;&gt;"))</f>
        <v>2</v>
      </c>
      <c r="G41" s="55">
        <f>IF($B41="",COUNTIFS(Checklist!$A:$A,$A41,Checklist!$C:$C,$C41,Checklist!$E:$E,"최적화",Checklist!$G:$G,"Y"),COUNTIFS(Checklist!$A:$A,$A41,Checklist!$B:$B,$B41,Checklist!$C:$C,$C41,Checklist!$E:$E,"최적화",Checklist!$G:$G,"Y"))</f>
        <v>3</v>
      </c>
      <c r="H41" s="55">
        <f>IF($B41="",COUNTIFS(Checklist!$A:$A,$A41,Checklist!$C:$C,$C41,Checklist!$E:$E,"최적화",Checklist!$H:$H,"&lt;&gt;"),COUNTIFS(Checklist!$A:$A,$A41,Checklist!$B:$B,$B41,Checklist!$C:$C,$C41,Checklist!$E:$E,"최적화",Checklist!$H:$H,"&lt;&gt;"))</f>
        <v>3</v>
      </c>
      <c r="I41" s="55">
        <f>IF(D41&gt;0,0,IF(AND(F41=0,H41=0),0.4,IF(AND(F41&gt;0,IF($B41="",COUNTIFS(Checklist!$A:$A,$A41,Checklist!$C:$C,$C41,Checklist!$E:$E,"향상",Checklist!$G:$G,"N"),COUNTIFS(Checklist!$A:$A,$A41,Checklist!$B:$B,$B41,Checklist!$C:$C,$C41,Checklist!$E:$E,"향상",Checklist!$G:$G,"N"))=0,H41&gt;0,IF($B41="",COUNTIFS(Checklist!$A:$A,$A41,Checklist!$C:$C,$C41,Checklist!$E:$E,"최적화",Checklist!$G:$G,"N"),COUNTIFS(Checklist!$A:$A,$A41,Checklist!$B:$B,$B41,Checklist!$C:$C,$C41,Checklist!$E:$E,"최적화",Checklist!$G:$G,"N"))=0),0.7+0.3*IF(H41=0,0,G41/H41),0.4+0.3*IF(F41=0,0,E41/F41))))</f>
        <v>1</v>
      </c>
    </row>
    <row r="42" spans="1:9" x14ac:dyDescent="0.45">
      <c r="A42" s="55" t="s">
        <v>381</v>
      </c>
      <c r="B42" s="55"/>
      <c r="C42" s="55" t="s">
        <v>441</v>
      </c>
      <c r="D42" s="55">
        <f>IF($B42="",COUNTIFS(Checklist!$A:$A,$A42,Checklist!$C:$C,$C42,Checklist!$E:$E,"초기",Checklist!$G:$G,"N"),COUNTIFS(Checklist!$A:$A,$A42,Checklist!$B:$B,$B42,Checklist!$C:$C,$C42,Checklist!$E:$E,"초기",Checklist!$G:$G,"N"))</f>
        <v>0</v>
      </c>
      <c r="E42" s="55">
        <f>IF($B42="",COUNTIFS(Checklist!$A:$A,$A42,Checklist!$C:$C,$C42,Checklist!$E:$E,"향상",Checklist!$G:$G,"Y"),COUNTIFS(Checklist!$A:$A,$A42,Checklist!$B:$B,$B42,Checklist!$C:$C,$C42,Checklist!$E:$E,"향상",Checklist!$G:$G,"Y"))</f>
        <v>1</v>
      </c>
      <c r="F42" s="55">
        <f>IF($B42="",COUNTIFS(Checklist!$A:$A,$A42,Checklist!$C:$C,$C42,Checklist!$E:$E,"향상",Checklist!$H:$H,"&lt;&gt;"),COUNTIFS(Checklist!$A:$A,$A42,Checklist!$B:$B,$B42,Checklist!$C:$C,$C42,Checklist!$E:$E,"향상",Checklist!$H:$H,"&lt;&gt;"))</f>
        <v>1</v>
      </c>
      <c r="G42" s="55">
        <f>IF($B42="",COUNTIFS(Checklist!$A:$A,$A42,Checklist!$C:$C,$C42,Checklist!$E:$E,"최적화",Checklist!$G:$G,"Y"),COUNTIFS(Checklist!$A:$A,$A42,Checklist!$B:$B,$B42,Checklist!$C:$C,$C42,Checklist!$E:$E,"최적화",Checklist!$G:$G,"Y"))</f>
        <v>3</v>
      </c>
      <c r="H42" s="55">
        <f>IF($B42="",COUNTIFS(Checklist!$A:$A,$A42,Checklist!$C:$C,$C42,Checklist!$E:$E,"최적화",Checklist!$H:$H,"&lt;&gt;"),COUNTIFS(Checklist!$A:$A,$A42,Checklist!$B:$B,$B42,Checklist!$C:$C,$C42,Checklist!$E:$E,"최적화",Checklist!$H:$H,"&lt;&gt;"))</f>
        <v>3</v>
      </c>
      <c r="I42" s="55">
        <f>IF(D42&gt;0,0,IF(AND(F42=0,H42=0),0.4,IF(AND(F42&gt;0,IF($B42="",COUNTIFS(Checklist!$A:$A,$A42,Checklist!$C:$C,$C42,Checklist!$E:$E,"향상",Checklist!$G:$G,"N"),COUNTIFS(Checklist!$A:$A,$A42,Checklist!$B:$B,$B42,Checklist!$C:$C,$C42,Checklist!$E:$E,"향상",Checklist!$G:$G,"N"))=0,H42&gt;0,IF($B42="",COUNTIFS(Checklist!$A:$A,$A42,Checklist!$C:$C,$C42,Checklist!$E:$E,"최적화",Checklist!$G:$G,"N"),COUNTIFS(Checklist!$A:$A,$A42,Checklist!$B:$B,$B42,Checklist!$C:$C,$C42,Checklist!$E:$E,"최적화",Checklist!$G:$G,"N"))=0),0.7+0.3*IF(H42=0,0,G42/H42),0.4+0.3*IF(F42=0,0,E42/F42))))</f>
        <v>1</v>
      </c>
    </row>
    <row r="43" spans="1:9" x14ac:dyDescent="0.45">
      <c r="A43" s="55" t="s">
        <v>450</v>
      </c>
      <c r="B43" s="55"/>
      <c r="C43" s="55" t="s">
        <v>451</v>
      </c>
      <c r="D43" s="55">
        <f>IF($B43="",COUNTIFS(Checklist!$A:$A,$A43,Checklist!$C:$C,$C43,Checklist!$E:$E,"초기",Checklist!$G:$G,"N"),COUNTIFS(Checklist!$A:$A,$A43,Checklist!$B:$B,$B43,Checklist!$C:$C,$C43,Checklist!$E:$E,"초기",Checklist!$G:$G,"N"))</f>
        <v>0</v>
      </c>
      <c r="E43" s="55">
        <f>IF($B43="",COUNTIFS(Checklist!$A:$A,$A43,Checklist!$C:$C,$C43,Checklist!$E:$E,"향상",Checklist!$G:$G,"Y"),COUNTIFS(Checklist!$A:$A,$A43,Checklist!$B:$B,$B43,Checklist!$C:$C,$C43,Checklist!$E:$E,"향상",Checklist!$G:$G,"Y"))</f>
        <v>2</v>
      </c>
      <c r="F43" s="55">
        <f>IF($B43="",COUNTIFS(Checklist!$A:$A,$A43,Checklist!$C:$C,$C43,Checklist!$E:$E,"향상",Checklist!$H:$H,"&lt;&gt;"),COUNTIFS(Checklist!$A:$A,$A43,Checklist!$B:$B,$B43,Checklist!$C:$C,$C43,Checklist!$E:$E,"향상",Checklist!$H:$H,"&lt;&gt;"))</f>
        <v>2</v>
      </c>
      <c r="G43" s="55">
        <f>IF($B43="",COUNTIFS(Checklist!$A:$A,$A43,Checklist!$C:$C,$C43,Checklist!$E:$E,"최적화",Checklist!$G:$G,"Y"),COUNTIFS(Checklist!$A:$A,$A43,Checklist!$B:$B,$B43,Checklist!$C:$C,$C43,Checklist!$E:$E,"최적화",Checklist!$G:$G,"Y"))</f>
        <v>4</v>
      </c>
      <c r="H43" s="55">
        <f>IF($B43="",COUNTIFS(Checklist!$A:$A,$A43,Checklist!$C:$C,$C43,Checklist!$E:$E,"최적화",Checklist!$H:$H,"&lt;&gt;"),COUNTIFS(Checklist!$A:$A,$A43,Checklist!$B:$B,$B43,Checklist!$C:$C,$C43,Checklist!$E:$E,"최적화",Checklist!$H:$H,"&lt;&gt;"))</f>
        <v>4</v>
      </c>
      <c r="I43" s="55">
        <f>IF(D43&gt;0,0,IF(AND(F43=0,H43=0),0.4,IF(AND(F43&gt;0,IF($B43="",COUNTIFS(Checklist!$A:$A,$A43,Checklist!$C:$C,$C43,Checklist!$E:$E,"향상",Checklist!$G:$G,"N"),COUNTIFS(Checklist!$A:$A,$A43,Checklist!$B:$B,$B43,Checklist!$C:$C,$C43,Checklist!$E:$E,"향상",Checklist!$G:$G,"N"))=0,H43&gt;0,IF($B43="",COUNTIFS(Checklist!$A:$A,$A43,Checklist!$C:$C,$C43,Checklist!$E:$E,"최적화",Checklist!$G:$G,"N"),COUNTIFS(Checklist!$A:$A,$A43,Checklist!$B:$B,$B43,Checklist!$C:$C,$C43,Checklist!$E:$E,"최적화",Checklist!$G:$G,"N"))=0),0.7+0.3*IF(H43=0,0,G43/H43),0.4+0.3*IF(F43=0,0,E43/F43))))</f>
        <v>1</v>
      </c>
    </row>
    <row r="44" spans="1:9" x14ac:dyDescent="0.45">
      <c r="A44" s="55" t="s">
        <v>450</v>
      </c>
      <c r="B44" s="55"/>
      <c r="C44" s="55" t="s">
        <v>461</v>
      </c>
      <c r="D44" s="55">
        <f>IF($B44="",COUNTIFS(Checklist!$A:$A,$A44,Checklist!$C:$C,$C44,Checklist!$E:$E,"초기",Checklist!$G:$G,"N"),COUNTIFS(Checklist!$A:$A,$A44,Checklist!$B:$B,$B44,Checklist!$C:$C,$C44,Checklist!$E:$E,"초기",Checklist!$G:$G,"N"))</f>
        <v>0</v>
      </c>
      <c r="E44" s="55">
        <f>IF($B44="",COUNTIFS(Checklist!$A:$A,$A44,Checklist!$C:$C,$C44,Checklist!$E:$E,"향상",Checklist!$G:$G,"Y"),COUNTIFS(Checklist!$A:$A,$A44,Checklist!$B:$B,$B44,Checklist!$C:$C,$C44,Checklist!$E:$E,"향상",Checklist!$G:$G,"Y"))</f>
        <v>2</v>
      </c>
      <c r="F44" s="55">
        <f>IF($B44="",COUNTIFS(Checklist!$A:$A,$A44,Checklist!$C:$C,$C44,Checklist!$E:$E,"향상",Checklist!$H:$H,"&lt;&gt;"),COUNTIFS(Checklist!$A:$A,$A44,Checklist!$B:$B,$B44,Checklist!$C:$C,$C44,Checklist!$E:$E,"향상",Checklist!$H:$H,"&lt;&gt;"))</f>
        <v>2</v>
      </c>
      <c r="G44" s="55">
        <f>IF($B44="",COUNTIFS(Checklist!$A:$A,$A44,Checklist!$C:$C,$C44,Checklist!$E:$E,"최적화",Checklist!$G:$G,"Y"),COUNTIFS(Checklist!$A:$A,$A44,Checklist!$B:$B,$B44,Checklist!$C:$C,$C44,Checklist!$E:$E,"최적화",Checklist!$G:$G,"Y"))</f>
        <v>4</v>
      </c>
      <c r="H44" s="55">
        <f>IF($B44="",COUNTIFS(Checklist!$A:$A,$A44,Checklist!$C:$C,$C44,Checklist!$E:$E,"최적화",Checklist!$H:$H,"&lt;&gt;"),COUNTIFS(Checklist!$A:$A,$A44,Checklist!$B:$B,$B44,Checklist!$C:$C,$C44,Checklist!$E:$E,"최적화",Checklist!$H:$H,"&lt;&gt;"))</f>
        <v>4</v>
      </c>
      <c r="I44" s="55">
        <f>IF(D44&gt;0,0,IF(AND(F44=0,H44=0),0.4,IF(AND(F44&gt;0,IF($B44="",COUNTIFS(Checklist!$A:$A,$A44,Checklist!$C:$C,$C44,Checklist!$E:$E,"향상",Checklist!$G:$G,"N"),COUNTIFS(Checklist!$A:$A,$A44,Checklist!$B:$B,$B44,Checklist!$C:$C,$C44,Checklist!$E:$E,"향상",Checklist!$G:$G,"N"))=0,H44&gt;0,IF($B44="",COUNTIFS(Checklist!$A:$A,$A44,Checklist!$C:$C,$C44,Checklist!$E:$E,"최적화",Checklist!$G:$G,"N"),COUNTIFS(Checklist!$A:$A,$A44,Checklist!$B:$B,$B44,Checklist!$C:$C,$C44,Checklist!$E:$E,"최적화",Checklist!$G:$G,"N"))=0),0.7+0.3*IF(H44=0,0,G44/H44),0.4+0.3*IF(F44=0,0,E44/F44))))</f>
        <v>1</v>
      </c>
    </row>
    <row r="45" spans="1:9" x14ac:dyDescent="0.45">
      <c r="A45" s="55" t="s">
        <v>450</v>
      </c>
      <c r="B45" s="55"/>
      <c r="C45" s="55" t="s">
        <v>471</v>
      </c>
      <c r="D45" s="55">
        <f>IF($B45="",COUNTIFS(Checklist!$A:$A,$A45,Checklist!$C:$C,$C45,Checklist!$E:$E,"초기",Checklist!$G:$G,"N"),COUNTIFS(Checklist!$A:$A,$A45,Checklist!$B:$B,$B45,Checklist!$C:$C,$C45,Checklist!$E:$E,"초기",Checklist!$G:$G,"N"))</f>
        <v>0</v>
      </c>
      <c r="E45" s="55">
        <f>IF($B45="",COUNTIFS(Checklist!$A:$A,$A45,Checklist!$C:$C,$C45,Checklist!$E:$E,"향상",Checklist!$G:$G,"Y"),COUNTIFS(Checklist!$A:$A,$A45,Checklist!$B:$B,$B45,Checklist!$C:$C,$C45,Checklist!$E:$E,"향상",Checklist!$G:$G,"Y"))</f>
        <v>1</v>
      </c>
      <c r="F45" s="55">
        <f>IF($B45="",COUNTIFS(Checklist!$A:$A,$A45,Checklist!$C:$C,$C45,Checklist!$E:$E,"향상",Checklist!$H:$H,"&lt;&gt;"),COUNTIFS(Checklist!$A:$A,$A45,Checklist!$B:$B,$B45,Checklist!$C:$C,$C45,Checklist!$E:$E,"향상",Checklist!$H:$H,"&lt;&gt;"))</f>
        <v>2</v>
      </c>
      <c r="G45" s="55">
        <f>IF($B45="",COUNTIFS(Checklist!$A:$A,$A45,Checklist!$C:$C,$C45,Checklist!$E:$E,"최적화",Checklist!$G:$G,"Y"),COUNTIFS(Checklist!$A:$A,$A45,Checklist!$B:$B,$B45,Checklist!$C:$C,$C45,Checklist!$E:$E,"최적화",Checklist!$G:$G,"Y"))</f>
        <v>3</v>
      </c>
      <c r="H45" s="55">
        <f>IF($B45="",COUNTIFS(Checklist!$A:$A,$A45,Checklist!$C:$C,$C45,Checklist!$E:$E,"최적화",Checklist!$H:$H,"&lt;&gt;"),COUNTIFS(Checklist!$A:$A,$A45,Checklist!$B:$B,$B45,Checklist!$C:$C,$C45,Checklist!$E:$E,"최적화",Checklist!$H:$H,"&lt;&gt;"))</f>
        <v>3</v>
      </c>
      <c r="I45" s="55">
        <f>IF(D45&gt;0,0,IF(AND(F45=0,H45=0),0.4,IF(AND(F45&gt;0,IF($B45="",COUNTIFS(Checklist!$A:$A,$A45,Checklist!$C:$C,$C45,Checklist!$E:$E,"향상",Checklist!$G:$G,"N"),COUNTIFS(Checklist!$A:$A,$A45,Checklist!$B:$B,$B45,Checklist!$C:$C,$C45,Checklist!$E:$E,"향상",Checklist!$G:$G,"N"))=0,H45&gt;0,IF($B45="",COUNTIFS(Checklist!$A:$A,$A45,Checklist!$C:$C,$C45,Checklist!$E:$E,"최적화",Checklist!$G:$G,"N"),COUNTIFS(Checklist!$A:$A,$A45,Checklist!$B:$B,$B45,Checklist!$C:$C,$C45,Checklist!$E:$E,"최적화",Checklist!$G:$G,"N"))=0),0.7+0.3*IF(H45=0,0,G45/H45),0.4+0.3*IF(F45=0,0,E45/F45))))</f>
        <v>0.55000000000000004</v>
      </c>
    </row>
    <row r="46" spans="1:9" x14ac:dyDescent="0.45">
      <c r="A46" s="55" t="s">
        <v>450</v>
      </c>
      <c r="B46" s="55"/>
      <c r="C46" s="55" t="s">
        <v>483</v>
      </c>
      <c r="D46" s="55">
        <f>IF($B46="",COUNTIFS(Checklist!$A:$A,$A46,Checklist!$C:$C,$C46,Checklist!$E:$E,"초기",Checklist!$G:$G,"N"),COUNTIFS(Checklist!$A:$A,$A46,Checklist!$B:$B,$B46,Checklist!$C:$C,$C46,Checklist!$E:$E,"초기",Checklist!$G:$G,"N"))</f>
        <v>0</v>
      </c>
      <c r="E46" s="55">
        <f>IF($B46="",COUNTIFS(Checklist!$A:$A,$A46,Checklist!$C:$C,$C46,Checklist!$E:$E,"향상",Checklist!$G:$G,"Y"),COUNTIFS(Checklist!$A:$A,$A46,Checklist!$B:$B,$B46,Checklist!$C:$C,$C46,Checklist!$E:$E,"향상",Checklist!$G:$G,"Y"))</f>
        <v>3</v>
      </c>
      <c r="F46" s="55">
        <f>IF($B46="",COUNTIFS(Checklist!$A:$A,$A46,Checklist!$C:$C,$C46,Checklist!$E:$E,"향상",Checklist!$H:$H,"&lt;&gt;"),COUNTIFS(Checklist!$A:$A,$A46,Checklist!$B:$B,$B46,Checklist!$C:$C,$C46,Checklist!$E:$E,"향상",Checklist!$H:$H,"&lt;&gt;"))</f>
        <v>3</v>
      </c>
      <c r="G46" s="55">
        <f>IF($B46="",COUNTIFS(Checklist!$A:$A,$A46,Checklist!$C:$C,$C46,Checklist!$E:$E,"최적화",Checklist!$G:$G,"Y"),COUNTIFS(Checklist!$A:$A,$A46,Checklist!$B:$B,$B46,Checklist!$C:$C,$C46,Checklist!$E:$E,"최적화",Checklist!$G:$G,"Y"))</f>
        <v>4</v>
      </c>
      <c r="H46" s="55">
        <f>IF($B46="",COUNTIFS(Checklist!$A:$A,$A46,Checklist!$C:$C,$C46,Checklist!$E:$E,"최적화",Checklist!$H:$H,"&lt;&gt;"),COUNTIFS(Checklist!$A:$A,$A46,Checklist!$B:$B,$B46,Checklist!$C:$C,$C46,Checklist!$E:$E,"최적화",Checklist!$H:$H,"&lt;&gt;"))</f>
        <v>4</v>
      </c>
      <c r="I46" s="55">
        <f>IF(D46&gt;0,0,IF(AND(F46=0,H46=0),0.4,IF(AND(F46&gt;0,IF($B46="",COUNTIFS(Checklist!$A:$A,$A46,Checklist!$C:$C,$C46,Checklist!$E:$E,"향상",Checklist!$G:$G,"N"),COUNTIFS(Checklist!$A:$A,$A46,Checklist!$B:$B,$B46,Checklist!$C:$C,$C46,Checklist!$E:$E,"향상",Checklist!$G:$G,"N"))=0,H46&gt;0,IF($B46="",COUNTIFS(Checklist!$A:$A,$A46,Checklist!$C:$C,$C46,Checklist!$E:$E,"최적화",Checklist!$G:$G,"N"),COUNTIFS(Checklist!$A:$A,$A46,Checklist!$B:$B,$B46,Checklist!$C:$C,$C46,Checklist!$E:$E,"최적화",Checklist!$G:$G,"N"))=0),0.7+0.3*IF(H46=0,0,G46/H46),0.4+0.3*IF(F46=0,0,E46/F46))))</f>
        <v>1</v>
      </c>
    </row>
    <row r="47" spans="1:9" x14ac:dyDescent="0.45">
      <c r="A47" s="55" t="s">
        <v>450</v>
      </c>
      <c r="B47" s="55"/>
      <c r="C47" s="55" t="s">
        <v>495</v>
      </c>
      <c r="D47" s="55">
        <f>IF($B47="",COUNTIFS(Checklist!$A:$A,$A47,Checklist!$C:$C,$C47,Checklist!$E:$E,"초기",Checklist!$G:$G,"N"),COUNTIFS(Checklist!$A:$A,$A47,Checklist!$B:$B,$B47,Checklist!$C:$C,$C47,Checklist!$E:$E,"초기",Checklist!$G:$G,"N"))</f>
        <v>0</v>
      </c>
      <c r="E47" s="55">
        <f>IF($B47="",COUNTIFS(Checklist!$A:$A,$A47,Checklist!$C:$C,$C47,Checklist!$E:$E,"향상",Checklist!$G:$G,"Y"),COUNTIFS(Checklist!$A:$A,$A47,Checklist!$B:$B,$B47,Checklist!$C:$C,$C47,Checklist!$E:$E,"향상",Checklist!$G:$G,"Y"))</f>
        <v>3</v>
      </c>
      <c r="F47" s="55">
        <f>IF($B47="",COUNTIFS(Checklist!$A:$A,$A47,Checklist!$C:$C,$C47,Checklist!$E:$E,"향상",Checklist!$H:$H,"&lt;&gt;"),COUNTIFS(Checklist!$A:$A,$A47,Checklist!$B:$B,$B47,Checklist!$C:$C,$C47,Checklist!$E:$E,"향상",Checklist!$H:$H,"&lt;&gt;"))</f>
        <v>3</v>
      </c>
      <c r="G47" s="55">
        <f>IF($B47="",COUNTIFS(Checklist!$A:$A,$A47,Checklist!$C:$C,$C47,Checklist!$E:$E,"최적화",Checklist!$G:$G,"Y"),COUNTIFS(Checklist!$A:$A,$A47,Checklist!$B:$B,$B47,Checklist!$C:$C,$C47,Checklist!$E:$E,"최적화",Checklist!$G:$G,"Y"))</f>
        <v>4</v>
      </c>
      <c r="H47" s="55">
        <f>IF($B47="",COUNTIFS(Checklist!$A:$A,$A47,Checklist!$C:$C,$C47,Checklist!$E:$E,"최적화",Checklist!$H:$H,"&lt;&gt;"),COUNTIFS(Checklist!$A:$A,$A47,Checklist!$B:$B,$B47,Checklist!$C:$C,$C47,Checklist!$E:$E,"최적화",Checklist!$H:$H,"&lt;&gt;"))</f>
        <v>4</v>
      </c>
      <c r="I47" s="55">
        <f>IF(D47&gt;0,0,IF(AND(F47=0,H47=0),0.4,IF(AND(F47&gt;0,IF($B47="",COUNTIFS(Checklist!$A:$A,$A47,Checklist!$C:$C,$C47,Checklist!$E:$E,"향상",Checklist!$G:$G,"N"),COUNTIFS(Checklist!$A:$A,$A47,Checklist!$B:$B,$B47,Checklist!$C:$C,$C47,Checklist!$E:$E,"향상",Checklist!$G:$G,"N"))=0,H47&gt;0,IF($B47="",COUNTIFS(Checklist!$A:$A,$A47,Checklist!$C:$C,$C47,Checklist!$E:$E,"최적화",Checklist!$G:$G,"N"),COUNTIFS(Checklist!$A:$A,$A47,Checklist!$B:$B,$B47,Checklist!$C:$C,$C47,Checklist!$E:$E,"최적화",Checklist!$G:$G,"N"))=0),0.7+0.3*IF(H47=0,0,G47/H47),0.4+0.3*IF(F47=0,0,E47/F47))))</f>
        <v>1</v>
      </c>
    </row>
    <row r="48" spans="1:9" x14ac:dyDescent="0.45">
      <c r="A48" s="55" t="s">
        <v>450</v>
      </c>
      <c r="B48" s="55"/>
      <c r="C48" s="55" t="s">
        <v>507</v>
      </c>
      <c r="D48" s="55">
        <f>IF($B48="",COUNTIFS(Checklist!$A:$A,$A48,Checklist!$C:$C,$C48,Checklist!$E:$E,"초기",Checklist!$G:$G,"N"),COUNTIFS(Checklist!$A:$A,$A48,Checklist!$B:$B,$B48,Checklist!$C:$C,$C48,Checklist!$E:$E,"초기",Checklist!$G:$G,"N"))</f>
        <v>0</v>
      </c>
      <c r="E48" s="55">
        <f>IF($B48="",COUNTIFS(Checklist!$A:$A,$A48,Checklist!$C:$C,$C48,Checklist!$E:$E,"향상",Checklist!$G:$G,"Y"),COUNTIFS(Checklist!$A:$A,$A48,Checklist!$B:$B,$B48,Checklist!$C:$C,$C48,Checklist!$E:$E,"향상",Checklist!$G:$G,"Y"))</f>
        <v>2</v>
      </c>
      <c r="F48" s="55">
        <f>IF($B48="",COUNTIFS(Checklist!$A:$A,$A48,Checklist!$C:$C,$C48,Checklist!$E:$E,"향상",Checklist!$H:$H,"&lt;&gt;"),COUNTIFS(Checklist!$A:$A,$A48,Checklist!$B:$B,$B48,Checklist!$C:$C,$C48,Checklist!$E:$E,"향상",Checklist!$H:$H,"&lt;&gt;"))</f>
        <v>4</v>
      </c>
      <c r="G48" s="55">
        <f>IF($B48="",COUNTIFS(Checklist!$A:$A,$A48,Checklist!$C:$C,$C48,Checklist!$E:$E,"최적화",Checklist!$G:$G,"Y"),COUNTIFS(Checklist!$A:$A,$A48,Checklist!$B:$B,$B48,Checklist!$C:$C,$C48,Checklist!$E:$E,"최적화",Checklist!$G:$G,"Y"))</f>
        <v>5</v>
      </c>
      <c r="H48" s="55">
        <f>IF($B48="",COUNTIFS(Checklist!$A:$A,$A48,Checklist!$C:$C,$C48,Checklist!$E:$E,"최적화",Checklist!$H:$H,"&lt;&gt;"),COUNTIFS(Checklist!$A:$A,$A48,Checklist!$B:$B,$B48,Checklist!$C:$C,$C48,Checklist!$E:$E,"최적화",Checklist!$H:$H,"&lt;&gt;"))</f>
        <v>6</v>
      </c>
      <c r="I48" s="55">
        <f>IF(D48&gt;0,0,IF(AND(F48=0,H48=0),0.4,IF(AND(F48&gt;0,IF($B48="",COUNTIFS(Checklist!$A:$A,$A48,Checklist!$C:$C,$C48,Checklist!$E:$E,"향상",Checklist!$G:$G,"N"),COUNTIFS(Checklist!$A:$A,$A48,Checklist!$B:$B,$B48,Checklist!$C:$C,$C48,Checklist!$E:$E,"향상",Checklist!$G:$G,"N"))=0,H48&gt;0,IF($B48="",COUNTIFS(Checklist!$A:$A,$A48,Checklist!$C:$C,$C48,Checklist!$E:$E,"최적화",Checklist!$G:$G,"N"),COUNTIFS(Checklist!$A:$A,$A48,Checklist!$B:$B,$B48,Checklist!$C:$C,$C48,Checklist!$E:$E,"최적화",Checklist!$G:$G,"N"))=0),0.7+0.3*IF(H48=0,0,G48/H48),0.4+0.3*IF(F48=0,0,E48/F48))))</f>
        <v>0.55000000000000004</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499984740745262"/>
  </sheetPr>
  <dimension ref="A1:C24"/>
  <sheetViews>
    <sheetView workbookViewId="0">
      <selection activeCell="F14" sqref="F14"/>
    </sheetView>
  </sheetViews>
  <sheetFormatPr defaultRowHeight="17" x14ac:dyDescent="0.45"/>
  <cols>
    <col min="1" max="1" width="24.5" customWidth="1"/>
    <col min="2" max="2" width="26.83203125" customWidth="1"/>
    <col min="3" max="3" width="10.33203125" style="4" customWidth="1"/>
  </cols>
  <sheetData>
    <row r="1" spans="1:3" x14ac:dyDescent="0.45">
      <c r="A1" s="1" t="s">
        <v>0</v>
      </c>
      <c r="B1" s="1" t="s">
        <v>1</v>
      </c>
      <c r="C1" s="1" t="s">
        <v>532</v>
      </c>
    </row>
    <row r="2" spans="1:3" x14ac:dyDescent="0.45">
      <c r="A2" s="55" t="s">
        <v>7</v>
      </c>
      <c r="B2" s="55" t="s">
        <v>8</v>
      </c>
      <c r="C2" s="2">
        <f>IFERROR(AVERAGEIFS(SubFunctionSummary!$I:$I,SubFunctionSummary!$A:$A,$A2,SubFunctionSummary!$B:$B,$B2),"")</f>
        <v>0.2</v>
      </c>
    </row>
    <row r="3" spans="1:3" x14ac:dyDescent="0.45">
      <c r="A3" s="55" t="s">
        <v>7</v>
      </c>
      <c r="B3" s="55" t="s">
        <v>30</v>
      </c>
      <c r="C3" s="2">
        <f>IFERROR(AVERAGEIFS(SubFunctionSummary!$I:$I,SubFunctionSummary!$A:$A,$A3,SubFunctionSummary!$B:$B,$B3),"")</f>
        <v>0.5</v>
      </c>
    </row>
    <row r="4" spans="1:3" x14ac:dyDescent="0.45">
      <c r="A4" s="55" t="s">
        <v>7</v>
      </c>
      <c r="B4" s="55" t="s">
        <v>49</v>
      </c>
      <c r="C4" s="2">
        <f>IFERROR(AVERAGEIFS(SubFunctionSummary!$I:$I,SubFunctionSummary!$A:$A,$A4,SubFunctionSummary!$B:$B,$B4),"")</f>
        <v>1</v>
      </c>
    </row>
    <row r="5" spans="1:3" x14ac:dyDescent="0.45">
      <c r="A5" s="55" t="s">
        <v>7</v>
      </c>
      <c r="B5" s="55" t="s">
        <v>69</v>
      </c>
      <c r="C5" s="2">
        <f>IFERROR(AVERAGEIFS(SubFunctionSummary!$I:$I,SubFunctionSummary!$A:$A,$A5,SubFunctionSummary!$B:$B,$B5),"")</f>
        <v>1</v>
      </c>
    </row>
    <row r="6" spans="1:3" x14ac:dyDescent="0.45">
      <c r="A6" s="55" t="s">
        <v>87</v>
      </c>
      <c r="B6" s="55" t="s">
        <v>88</v>
      </c>
      <c r="C6" s="2">
        <f>IFERROR(AVERAGEIFS(SubFunctionSummary!$I:$I,SubFunctionSummary!$A:$A,$A6,SubFunctionSummary!$B:$B,$B6),"")</f>
        <v>1</v>
      </c>
    </row>
    <row r="7" spans="1:3" x14ac:dyDescent="0.45">
      <c r="A7" s="55" t="s">
        <v>87</v>
      </c>
      <c r="B7" s="55" t="s">
        <v>99</v>
      </c>
      <c r="C7" s="2">
        <f>IFERROR(AVERAGEIFS(SubFunctionSummary!$I:$I,SubFunctionSummary!$A:$A,$A7,SubFunctionSummary!$B:$B,$B7),"")</f>
        <v>1</v>
      </c>
    </row>
    <row r="8" spans="1:3" x14ac:dyDescent="0.45">
      <c r="A8" s="55" t="s">
        <v>87</v>
      </c>
      <c r="B8" s="55" t="s">
        <v>110</v>
      </c>
      <c r="C8" s="2">
        <f>IFERROR(AVERAGEIFS(SubFunctionSummary!$I:$I,SubFunctionSummary!$A:$A,$A8,SubFunctionSummary!$B:$B,$B8),"")</f>
        <v>1</v>
      </c>
    </row>
    <row r="9" spans="1:3" x14ac:dyDescent="0.45">
      <c r="A9" s="55" t="s">
        <v>87</v>
      </c>
      <c r="B9" s="55" t="s">
        <v>128</v>
      </c>
      <c r="C9" s="2">
        <f>IFERROR(AVERAGEIFS(SubFunctionSummary!$I:$I,SubFunctionSummary!$A:$A,$A9,SubFunctionSummary!$B:$B,$B9),"")</f>
        <v>1</v>
      </c>
    </row>
    <row r="10" spans="1:3" x14ac:dyDescent="0.45">
      <c r="A10" s="55" t="s">
        <v>144</v>
      </c>
      <c r="B10" s="55" t="s">
        <v>145</v>
      </c>
      <c r="C10" s="2">
        <f>IFERROR(AVERAGEIFS(SubFunctionSummary!$I:$I,SubFunctionSummary!$A:$A,$A10,SubFunctionSummary!$B:$B,$B10),"")</f>
        <v>1</v>
      </c>
    </row>
    <row r="11" spans="1:3" x14ac:dyDescent="0.45">
      <c r="A11" s="55" t="s">
        <v>144</v>
      </c>
      <c r="B11" s="55" t="s">
        <v>174</v>
      </c>
      <c r="C11" s="2">
        <f>IFERROR(AVERAGEIFS(SubFunctionSummary!$I:$I,SubFunctionSummary!$A:$A,$A11,SubFunctionSummary!$B:$B,$B11),"")</f>
        <v>1</v>
      </c>
    </row>
    <row r="12" spans="1:3" x14ac:dyDescent="0.45">
      <c r="A12" s="55" t="s">
        <v>144</v>
      </c>
      <c r="B12" s="55" t="s">
        <v>182</v>
      </c>
      <c r="C12" s="2">
        <f>IFERROR(AVERAGEIFS(SubFunctionSummary!$I:$I,SubFunctionSummary!$A:$A,$A12,SubFunctionSummary!$B:$B,$B12),"")</f>
        <v>1</v>
      </c>
    </row>
    <row r="13" spans="1:3" x14ac:dyDescent="0.45">
      <c r="A13" s="55" t="s">
        <v>144</v>
      </c>
      <c r="B13" s="55" t="s">
        <v>191</v>
      </c>
      <c r="C13" s="2">
        <f>IFERROR(AVERAGEIFS(SubFunctionSummary!$I:$I,SubFunctionSummary!$A:$A,$A13,SubFunctionSummary!$B:$B,$B13),"")</f>
        <v>1</v>
      </c>
    </row>
    <row r="14" spans="1:3" x14ac:dyDescent="0.45">
      <c r="A14" s="55" t="s">
        <v>144</v>
      </c>
      <c r="B14" s="55" t="s">
        <v>202</v>
      </c>
      <c r="C14" s="2">
        <f>IFERROR(AVERAGEIFS(SubFunctionSummary!$I:$I,SubFunctionSummary!$A:$A,$A14,SubFunctionSummary!$B:$B,$B14),"")</f>
        <v>1</v>
      </c>
    </row>
    <row r="15" spans="1:3" x14ac:dyDescent="0.45">
      <c r="A15" s="55" t="s">
        <v>212</v>
      </c>
      <c r="B15" s="55" t="s">
        <v>213</v>
      </c>
      <c r="C15" s="2">
        <f>IFERROR(AVERAGEIFS(SubFunctionSummary!$I:$I,SubFunctionSummary!$A:$A,$A15,SubFunctionSummary!$B:$B,$B15),"")</f>
        <v>1</v>
      </c>
    </row>
    <row r="16" spans="1:3" x14ac:dyDescent="0.45">
      <c r="A16" s="55" t="s">
        <v>212</v>
      </c>
      <c r="B16" s="55" t="s">
        <v>227</v>
      </c>
      <c r="C16" s="2">
        <f>IFERROR(AVERAGEIFS(SubFunctionSummary!$I:$I,SubFunctionSummary!$A:$A,$A16,SubFunctionSummary!$B:$B,$B16),"")</f>
        <v>1</v>
      </c>
    </row>
    <row r="17" spans="1:3" x14ac:dyDescent="0.45">
      <c r="A17" s="55" t="s">
        <v>212</v>
      </c>
      <c r="B17" s="55" t="s">
        <v>242</v>
      </c>
      <c r="C17" s="2">
        <f>IFERROR(AVERAGEIFS(SubFunctionSummary!$I:$I,SubFunctionSummary!$A:$A,$A17,SubFunctionSummary!$B:$B,$B17),"")</f>
        <v>1</v>
      </c>
    </row>
    <row r="18" spans="1:3" x14ac:dyDescent="0.45">
      <c r="A18" s="55" t="s">
        <v>212</v>
      </c>
      <c r="B18" s="55" t="s">
        <v>251</v>
      </c>
      <c r="C18" s="2">
        <f>IFERROR(AVERAGEIFS(SubFunctionSummary!$I:$I,SubFunctionSummary!$A:$A,$A18,SubFunctionSummary!$B:$B,$B18),"")</f>
        <v>1</v>
      </c>
    </row>
    <row r="19" spans="1:3" x14ac:dyDescent="0.45">
      <c r="A19" s="55" t="s">
        <v>212</v>
      </c>
      <c r="B19" s="55" t="s">
        <v>277</v>
      </c>
      <c r="C19" s="2">
        <f>IFERROR(AVERAGEIFS(SubFunctionSummary!$I:$I,SubFunctionSummary!$A:$A,$A19,SubFunctionSummary!$B:$B,$B19),"")</f>
        <v>1</v>
      </c>
    </row>
    <row r="20" spans="1:3" x14ac:dyDescent="0.45">
      <c r="A20" s="55" t="s">
        <v>302</v>
      </c>
      <c r="B20" s="55" t="s">
        <v>303</v>
      </c>
      <c r="C20" s="2">
        <f>IFERROR(AVERAGEIFS(SubFunctionSummary!$I:$I,SubFunctionSummary!$A:$A,$A20,SubFunctionSummary!$B:$B,$B20),"")</f>
        <v>1</v>
      </c>
    </row>
    <row r="21" spans="1:3" x14ac:dyDescent="0.45">
      <c r="A21" s="55" t="s">
        <v>302</v>
      </c>
      <c r="B21" s="55" t="s">
        <v>326</v>
      </c>
      <c r="C21" s="2">
        <f>IFERROR(AVERAGEIFS(SubFunctionSummary!$I:$I,SubFunctionSummary!$A:$A,$A21,SubFunctionSummary!$B:$B,$B21),"")</f>
        <v>1</v>
      </c>
    </row>
    <row r="22" spans="1:3" x14ac:dyDescent="0.45">
      <c r="A22" s="55" t="s">
        <v>302</v>
      </c>
      <c r="B22" s="55" t="s">
        <v>334</v>
      </c>
      <c r="C22" s="2">
        <f>IFERROR(AVERAGEIFS(SubFunctionSummary!$I:$I,SubFunctionSummary!$A:$A,$A22,SubFunctionSummary!$B:$B,$B22),"")</f>
        <v>1</v>
      </c>
    </row>
    <row r="23" spans="1:3" x14ac:dyDescent="0.45">
      <c r="A23" s="55" t="s">
        <v>302</v>
      </c>
      <c r="B23" s="55" t="s">
        <v>345</v>
      </c>
      <c r="C23" s="2">
        <f>IFERROR(AVERAGEIFS(SubFunctionSummary!$I:$I,SubFunctionSummary!$A:$A,$A23,SubFunctionSummary!$B:$B,$B23),"")</f>
        <v>1</v>
      </c>
    </row>
    <row r="24" spans="1:3" x14ac:dyDescent="0.45">
      <c r="A24" s="55" t="s">
        <v>302</v>
      </c>
      <c r="B24" s="55" t="s">
        <v>357</v>
      </c>
      <c r="C24" s="2">
        <f>IFERROR(AVERAGEIFS(SubFunctionSummary!$I:$I,SubFunctionSummary!$A:$A,$A24,SubFunctionSummary!$B:$B,$B24),"")</f>
        <v>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tint="0.499984740745262"/>
  </sheetPr>
  <dimension ref="A1:D9"/>
  <sheetViews>
    <sheetView workbookViewId="0">
      <selection activeCell="H11" sqref="H11"/>
    </sheetView>
  </sheetViews>
  <sheetFormatPr defaultRowHeight="17" x14ac:dyDescent="0.45"/>
  <cols>
    <col min="1" max="1" width="22.25" customWidth="1"/>
    <col min="2" max="2" width="9.9140625" customWidth="1"/>
    <col min="4" max="4" width="15.1640625" customWidth="1"/>
  </cols>
  <sheetData>
    <row r="1" spans="1:4" x14ac:dyDescent="0.45">
      <c r="A1" s="1" t="s">
        <v>0</v>
      </c>
      <c r="B1" s="1" t="s">
        <v>532</v>
      </c>
      <c r="C1" s="1" t="s">
        <v>530</v>
      </c>
      <c r="D1" s="1" t="s">
        <v>533</v>
      </c>
    </row>
    <row r="2" spans="1:4" x14ac:dyDescent="0.45">
      <c r="A2" s="3" t="s">
        <v>7</v>
      </c>
      <c r="B2" s="2">
        <f>IFERROR(AVERAGEIFS(FunctionSummary!$C:$C,FunctionSummary!$A:$A,$A2),"")</f>
        <v>0.67500000000000004</v>
      </c>
      <c r="C2" s="2">
        <v>0.2</v>
      </c>
      <c r="D2" s="2">
        <f t="shared" ref="D2:D8" si="0">IF(B2="","",B2*C2)</f>
        <v>0.13500000000000001</v>
      </c>
    </row>
    <row r="3" spans="1:4" x14ac:dyDescent="0.45">
      <c r="A3" s="3" t="s">
        <v>87</v>
      </c>
      <c r="B3" s="2">
        <f>IFERROR(AVERAGEIFS(FunctionSummary!$C:$C,FunctionSummary!$A:$A,$A3),"")</f>
        <v>1</v>
      </c>
      <c r="C3" s="2">
        <v>0.15</v>
      </c>
      <c r="D3" s="2">
        <f t="shared" si="0"/>
        <v>0.15</v>
      </c>
    </row>
    <row r="4" spans="1:4" x14ac:dyDescent="0.45">
      <c r="A4" s="3" t="s">
        <v>144</v>
      </c>
      <c r="B4" s="2">
        <f>IFERROR(AVERAGEIFS(FunctionSummary!$C:$C,FunctionSummary!$A:$A,$A4),"")</f>
        <v>1</v>
      </c>
      <c r="C4" s="2">
        <v>0.15</v>
      </c>
      <c r="D4" s="2">
        <f t="shared" si="0"/>
        <v>0.15</v>
      </c>
    </row>
    <row r="5" spans="1:4" x14ac:dyDescent="0.45">
      <c r="A5" s="3" t="s">
        <v>212</v>
      </c>
      <c r="B5" s="2">
        <f>IFERROR(AVERAGEIFS(FunctionSummary!$C:$C,FunctionSummary!$A:$A,$A5),"")</f>
        <v>1</v>
      </c>
      <c r="C5" s="2">
        <v>0.13</v>
      </c>
      <c r="D5" s="2">
        <f t="shared" si="0"/>
        <v>0.13</v>
      </c>
    </row>
    <row r="6" spans="1:4" x14ac:dyDescent="0.45">
      <c r="A6" s="3" t="s">
        <v>302</v>
      </c>
      <c r="B6" s="2">
        <f>IFERROR(AVERAGEIFS(FunctionSummary!$C:$C,FunctionSummary!$A:$A,$A6),"")</f>
        <v>1</v>
      </c>
      <c r="C6" s="2">
        <v>0.15</v>
      </c>
      <c r="D6" s="2">
        <f t="shared" si="0"/>
        <v>0.15</v>
      </c>
    </row>
    <row r="7" spans="1:4" x14ac:dyDescent="0.45">
      <c r="A7" s="3" t="s">
        <v>381</v>
      </c>
      <c r="B7" s="2">
        <f>IFERROR(AVERAGEIFS(SubFunctionSummary!$I:$I,SubFunctionSummary!$A:$A,$A7),"")</f>
        <v>1</v>
      </c>
      <c r="C7" s="2">
        <v>0.12</v>
      </c>
      <c r="D7" s="2">
        <f t="shared" si="0"/>
        <v>0.12</v>
      </c>
    </row>
    <row r="8" spans="1:4" x14ac:dyDescent="0.45">
      <c r="A8" s="3" t="s">
        <v>450</v>
      </c>
      <c r="B8" s="2">
        <f>IFERROR(AVERAGEIFS(SubFunctionSummary!$I:$I,SubFunctionSummary!$A:$A,$A8),"")</f>
        <v>0.85</v>
      </c>
      <c r="C8" s="2">
        <v>0.1</v>
      </c>
      <c r="D8" s="2">
        <f t="shared" si="0"/>
        <v>8.5000000000000006E-2</v>
      </c>
    </row>
    <row r="9" spans="1:4" x14ac:dyDescent="0.45">
      <c r="A9" s="1" t="s">
        <v>531</v>
      </c>
      <c r="B9" s="54">
        <f>SUM(D2:D8)</f>
        <v>0.92</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65462-D6BE-4815-A20F-DB30C1F49079}">
  <sheetPr>
    <tabColor theme="1" tint="0.499984740745262"/>
  </sheetPr>
  <dimension ref="A1"/>
  <sheetViews>
    <sheetView zoomScaleNormal="100" zoomScaleSheetLayoutView="100" workbookViewId="0"/>
  </sheetViews>
  <sheetFormatPr defaultColWidth="8.83203125" defaultRowHeight="17" x14ac:dyDescent="0.45"/>
  <cols>
    <col min="1" max="16384" width="8.83203125" style="6"/>
  </cols>
  <sheetData/>
  <phoneticPr fontId="1" type="noConversion"/>
  <pageMargins left="0.74805557727813721" right="0.74805557727813721" top="0.98430556058883667" bottom="0.98430556058883667" header="0.51138889789581299" footer="0.51138889789581299"/>
  <pageSetup paperSize="9" fitToWidth="0" fitToHeight="0"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03F8-AAD8-4B75-B455-9670DF376CB6}">
  <dimension ref="A1:L99"/>
  <sheetViews>
    <sheetView topLeftCell="A39" zoomScale="71" zoomScaleNormal="71" zoomScaleSheetLayoutView="71" workbookViewId="0">
      <selection activeCell="K34" sqref="K34"/>
    </sheetView>
  </sheetViews>
  <sheetFormatPr defaultColWidth="8.83203125" defaultRowHeight="17" x14ac:dyDescent="0.45"/>
  <cols>
    <col min="1" max="1" width="17" style="6" bestFit="1" customWidth="1"/>
    <col min="2" max="2" width="18.08203125" style="6" bestFit="1" customWidth="1"/>
    <col min="3" max="3" width="50" style="6" bestFit="1" customWidth="1"/>
    <col min="4" max="4" width="19.08203125" style="8" bestFit="1" customWidth="1"/>
    <col min="5" max="5" width="13.6640625" style="8" bestFit="1" customWidth="1"/>
    <col min="6" max="6" width="9.5" style="8" bestFit="1" customWidth="1"/>
    <col min="7" max="7" width="24.4140625" style="7" bestFit="1" customWidth="1"/>
    <col min="8" max="8" width="6.83203125" style="7" bestFit="1" customWidth="1"/>
    <col min="9" max="9" width="21" style="7" bestFit="1" customWidth="1"/>
    <col min="10" max="10" width="8.83203125" style="6"/>
    <col min="11" max="11" width="45.5" style="6" bestFit="1" customWidth="1"/>
    <col min="12" max="12" width="8.83203125" style="6" bestFit="1" customWidth="1"/>
    <col min="13" max="16384" width="8.83203125" style="6"/>
  </cols>
  <sheetData>
    <row r="1" spans="1:12" ht="34" x14ac:dyDescent="0.45">
      <c r="A1" s="33" t="s">
        <v>701</v>
      </c>
      <c r="B1" s="34"/>
      <c r="C1" s="34"/>
      <c r="D1" s="34"/>
      <c r="E1" s="34"/>
      <c r="F1" s="34"/>
      <c r="G1" s="34"/>
      <c r="H1" s="34"/>
      <c r="I1" s="35"/>
      <c r="K1" s="18" t="s">
        <v>700</v>
      </c>
      <c r="L1" s="17">
        <f>SUM(I39*0.6,D99*0.4)</f>
        <v>0.87726775956284164</v>
      </c>
    </row>
    <row r="2" spans="1:12" x14ac:dyDescent="0.45">
      <c r="A2" s="36"/>
      <c r="B2" s="37"/>
      <c r="C2" s="37"/>
      <c r="D2" s="37"/>
      <c r="E2" s="37"/>
      <c r="F2" s="37"/>
      <c r="G2" s="37"/>
      <c r="H2" s="37"/>
      <c r="I2" s="38"/>
    </row>
    <row r="3" spans="1:12" x14ac:dyDescent="0.45">
      <c r="A3" s="16" t="s">
        <v>699</v>
      </c>
      <c r="B3" s="16" t="s">
        <v>698</v>
      </c>
      <c r="C3" s="16" t="s">
        <v>697</v>
      </c>
      <c r="D3" s="16" t="s">
        <v>696</v>
      </c>
      <c r="E3" s="16" t="s">
        <v>695</v>
      </c>
      <c r="F3" s="16" t="s">
        <v>694</v>
      </c>
      <c r="G3" s="16" t="s">
        <v>693</v>
      </c>
      <c r="H3" s="16" t="s">
        <v>692</v>
      </c>
      <c r="I3" s="16" t="s">
        <v>691</v>
      </c>
    </row>
    <row r="4" spans="1:12" x14ac:dyDescent="0.45">
      <c r="A4" s="39" t="s">
        <v>690</v>
      </c>
      <c r="B4" s="6" t="s">
        <v>689</v>
      </c>
      <c r="C4" s="6" t="s">
        <v>688</v>
      </c>
      <c r="D4" s="8" t="s">
        <v>614</v>
      </c>
      <c r="E4" s="8" t="s">
        <v>653</v>
      </c>
      <c r="F4" s="8">
        <v>5</v>
      </c>
      <c r="G4" s="7">
        <f t="shared" ref="G4:G37" si="0">IF(F4="","",IF(D4="+",0.2+(F4-1)*0.2,1.2-(0.2+(F4-1)*0.2)))</f>
        <v>1</v>
      </c>
      <c r="H4" s="7">
        <v>0.35</v>
      </c>
      <c r="I4" s="7">
        <f t="shared" ref="I4:I37" si="1">IF(G4="","",G4*H4)</f>
        <v>0.35</v>
      </c>
      <c r="K4" s="15"/>
    </row>
    <row r="5" spans="1:12" x14ac:dyDescent="0.45">
      <c r="A5" s="40"/>
      <c r="B5" s="6" t="s">
        <v>687</v>
      </c>
      <c r="C5" s="6" t="s">
        <v>686</v>
      </c>
      <c r="D5" s="8" t="s">
        <v>614</v>
      </c>
      <c r="E5" s="8" t="s">
        <v>653</v>
      </c>
      <c r="F5" s="8">
        <v>5</v>
      </c>
      <c r="G5" s="7">
        <f t="shared" si="0"/>
        <v>1</v>
      </c>
      <c r="H5" s="7">
        <v>0.35</v>
      </c>
      <c r="I5" s="7">
        <f t="shared" si="1"/>
        <v>0.35</v>
      </c>
    </row>
    <row r="6" spans="1:12" x14ac:dyDescent="0.45">
      <c r="A6" s="40"/>
      <c r="B6" s="6" t="s">
        <v>685</v>
      </c>
      <c r="C6" s="6" t="s">
        <v>684</v>
      </c>
      <c r="D6" s="8" t="s">
        <v>614</v>
      </c>
      <c r="E6" s="8" t="s">
        <v>653</v>
      </c>
      <c r="F6" s="8">
        <v>5</v>
      </c>
      <c r="G6" s="7">
        <f t="shared" si="0"/>
        <v>1</v>
      </c>
      <c r="H6" s="7">
        <v>0.35</v>
      </c>
      <c r="I6" s="7">
        <f t="shared" si="1"/>
        <v>0.35</v>
      </c>
    </row>
    <row r="7" spans="1:12" x14ac:dyDescent="0.45">
      <c r="A7" s="40"/>
      <c r="B7" s="6" t="s">
        <v>683</v>
      </c>
      <c r="C7" s="6" t="s">
        <v>682</v>
      </c>
      <c r="D7" s="8" t="s">
        <v>639</v>
      </c>
      <c r="E7" s="8" t="s">
        <v>653</v>
      </c>
      <c r="F7" s="8">
        <v>5</v>
      </c>
      <c r="G7" s="7">
        <f t="shared" si="0"/>
        <v>0.19999999999999996</v>
      </c>
      <c r="H7" s="7">
        <v>0.35</v>
      </c>
      <c r="I7" s="7">
        <f t="shared" si="1"/>
        <v>6.9999999999999979E-2</v>
      </c>
    </row>
    <row r="8" spans="1:12" x14ac:dyDescent="0.45">
      <c r="A8" s="40"/>
      <c r="B8" s="6" t="s">
        <v>681</v>
      </c>
      <c r="C8" s="6" t="s">
        <v>680</v>
      </c>
      <c r="D8" s="8" t="s">
        <v>639</v>
      </c>
      <c r="E8" s="8" t="s">
        <v>653</v>
      </c>
      <c r="F8" s="8">
        <v>5</v>
      </c>
      <c r="G8" s="7">
        <f t="shared" si="0"/>
        <v>0.19999999999999996</v>
      </c>
      <c r="H8" s="7">
        <v>0.35</v>
      </c>
      <c r="I8" s="7">
        <f t="shared" si="1"/>
        <v>6.9999999999999979E-2</v>
      </c>
    </row>
    <row r="9" spans="1:12" x14ac:dyDescent="0.45">
      <c r="A9" s="40"/>
      <c r="B9" s="6" t="s">
        <v>679</v>
      </c>
      <c r="C9" s="6" t="s">
        <v>678</v>
      </c>
      <c r="D9" s="8" t="s">
        <v>614</v>
      </c>
      <c r="E9" s="8" t="s">
        <v>653</v>
      </c>
      <c r="F9" s="8">
        <v>5</v>
      </c>
      <c r="G9" s="7">
        <f t="shared" si="0"/>
        <v>1</v>
      </c>
      <c r="H9" s="7">
        <v>0.35</v>
      </c>
      <c r="I9" s="7">
        <f t="shared" si="1"/>
        <v>0.35</v>
      </c>
    </row>
    <row r="10" spans="1:12" x14ac:dyDescent="0.45">
      <c r="A10" s="40"/>
      <c r="B10" s="6" t="s">
        <v>677</v>
      </c>
      <c r="C10" s="6" t="s">
        <v>676</v>
      </c>
      <c r="D10" s="8" t="s">
        <v>614</v>
      </c>
      <c r="E10" s="8" t="s">
        <v>653</v>
      </c>
      <c r="F10" s="8">
        <v>5</v>
      </c>
      <c r="G10" s="7">
        <f t="shared" si="0"/>
        <v>1</v>
      </c>
      <c r="H10" s="7">
        <v>0.35</v>
      </c>
      <c r="I10" s="7">
        <f t="shared" si="1"/>
        <v>0.35</v>
      </c>
    </row>
    <row r="11" spans="1:12" x14ac:dyDescent="0.45">
      <c r="A11" s="40"/>
      <c r="B11" s="6" t="s">
        <v>675</v>
      </c>
      <c r="C11" s="6" t="s">
        <v>674</v>
      </c>
      <c r="D11" s="8" t="s">
        <v>614</v>
      </c>
      <c r="E11" s="8" t="s">
        <v>653</v>
      </c>
      <c r="F11" s="8">
        <v>5</v>
      </c>
      <c r="G11" s="7">
        <f t="shared" si="0"/>
        <v>1</v>
      </c>
      <c r="H11" s="7">
        <v>0.35</v>
      </c>
      <c r="I11" s="7">
        <f t="shared" si="1"/>
        <v>0.35</v>
      </c>
    </row>
    <row r="12" spans="1:12" x14ac:dyDescent="0.45">
      <c r="A12" s="40"/>
      <c r="B12" s="6" t="s">
        <v>673</v>
      </c>
      <c r="C12" s="6" t="s">
        <v>672</v>
      </c>
      <c r="D12" s="8" t="s">
        <v>614</v>
      </c>
      <c r="E12" s="8" t="s">
        <v>653</v>
      </c>
      <c r="F12" s="8">
        <v>5</v>
      </c>
      <c r="G12" s="7">
        <f t="shared" si="0"/>
        <v>1</v>
      </c>
      <c r="H12" s="7">
        <v>0.35</v>
      </c>
      <c r="I12" s="7">
        <f t="shared" si="1"/>
        <v>0.35</v>
      </c>
    </row>
    <row r="13" spans="1:12" x14ac:dyDescent="0.45">
      <c r="A13" s="40"/>
      <c r="B13" s="6" t="s">
        <v>671</v>
      </c>
      <c r="C13" s="6" t="s">
        <v>670</v>
      </c>
      <c r="D13" s="8" t="s">
        <v>614</v>
      </c>
      <c r="E13" s="8" t="s">
        <v>653</v>
      </c>
      <c r="F13" s="8">
        <v>5</v>
      </c>
      <c r="G13" s="7">
        <f t="shared" si="0"/>
        <v>1</v>
      </c>
      <c r="H13" s="7">
        <v>0.35</v>
      </c>
      <c r="I13" s="7">
        <f t="shared" si="1"/>
        <v>0.35</v>
      </c>
    </row>
    <row r="14" spans="1:12" x14ac:dyDescent="0.45">
      <c r="A14" s="40"/>
      <c r="B14" s="6" t="s">
        <v>669</v>
      </c>
      <c r="C14" s="6" t="s">
        <v>668</v>
      </c>
      <c r="D14" s="8" t="s">
        <v>614</v>
      </c>
      <c r="E14" s="8" t="s">
        <v>653</v>
      </c>
      <c r="F14" s="8">
        <v>5</v>
      </c>
      <c r="G14" s="7">
        <f t="shared" si="0"/>
        <v>1</v>
      </c>
      <c r="H14" s="7">
        <v>0.35</v>
      </c>
      <c r="I14" s="7">
        <f t="shared" si="1"/>
        <v>0.35</v>
      </c>
    </row>
    <row r="15" spans="1:12" x14ac:dyDescent="0.45">
      <c r="A15" s="40"/>
      <c r="B15" s="6" t="s">
        <v>667</v>
      </c>
      <c r="C15" s="6" t="s">
        <v>666</v>
      </c>
      <c r="D15" s="8" t="s">
        <v>614</v>
      </c>
      <c r="E15" s="8" t="s">
        <v>653</v>
      </c>
      <c r="F15" s="8">
        <v>5</v>
      </c>
      <c r="G15" s="7">
        <f t="shared" si="0"/>
        <v>1</v>
      </c>
      <c r="H15" s="7">
        <v>0.35</v>
      </c>
      <c r="I15" s="7">
        <f t="shared" si="1"/>
        <v>0.35</v>
      </c>
    </row>
    <row r="16" spans="1:12" x14ac:dyDescent="0.45">
      <c r="A16" s="40"/>
      <c r="B16" s="6" t="s">
        <v>665</v>
      </c>
      <c r="C16" s="6" t="s">
        <v>664</v>
      </c>
      <c r="D16" s="8" t="s">
        <v>614</v>
      </c>
      <c r="E16" s="8" t="s">
        <v>653</v>
      </c>
      <c r="F16" s="8">
        <v>5</v>
      </c>
      <c r="G16" s="7">
        <f t="shared" si="0"/>
        <v>1</v>
      </c>
      <c r="H16" s="7">
        <v>0.35</v>
      </c>
      <c r="I16" s="7">
        <f t="shared" si="1"/>
        <v>0.35</v>
      </c>
    </row>
    <row r="17" spans="1:9" x14ac:dyDescent="0.45">
      <c r="A17" s="40"/>
      <c r="B17" s="6" t="s">
        <v>663</v>
      </c>
      <c r="C17" s="6" t="s">
        <v>662</v>
      </c>
      <c r="D17" s="8" t="s">
        <v>614</v>
      </c>
      <c r="E17" s="8" t="s">
        <v>653</v>
      </c>
      <c r="F17" s="8">
        <v>5</v>
      </c>
      <c r="G17" s="7">
        <f t="shared" si="0"/>
        <v>1</v>
      </c>
      <c r="H17" s="7">
        <v>0.35</v>
      </c>
      <c r="I17" s="7">
        <f t="shared" si="1"/>
        <v>0.35</v>
      </c>
    </row>
    <row r="18" spans="1:9" x14ac:dyDescent="0.45">
      <c r="A18" s="40"/>
      <c r="B18" s="6" t="s">
        <v>661</v>
      </c>
      <c r="C18" s="6" t="s">
        <v>660</v>
      </c>
      <c r="D18" s="8" t="s">
        <v>614</v>
      </c>
      <c r="E18" s="8" t="s">
        <v>653</v>
      </c>
      <c r="F18" s="8">
        <v>5</v>
      </c>
      <c r="G18" s="7">
        <f t="shared" si="0"/>
        <v>1</v>
      </c>
      <c r="H18" s="7">
        <v>0.35</v>
      </c>
      <c r="I18" s="7">
        <f t="shared" si="1"/>
        <v>0.35</v>
      </c>
    </row>
    <row r="19" spans="1:9" x14ac:dyDescent="0.45">
      <c r="A19" s="40"/>
      <c r="B19" s="6" t="s">
        <v>659</v>
      </c>
      <c r="C19" s="6" t="s">
        <v>658</v>
      </c>
      <c r="D19" s="8" t="s">
        <v>614</v>
      </c>
      <c r="E19" s="8" t="s">
        <v>653</v>
      </c>
      <c r="F19" s="8">
        <v>5</v>
      </c>
      <c r="G19" s="7">
        <f t="shared" si="0"/>
        <v>1</v>
      </c>
      <c r="H19" s="7">
        <v>0.35</v>
      </c>
      <c r="I19" s="7">
        <f t="shared" si="1"/>
        <v>0.35</v>
      </c>
    </row>
    <row r="20" spans="1:9" x14ac:dyDescent="0.45">
      <c r="A20" s="40"/>
      <c r="B20" s="6" t="s">
        <v>657</v>
      </c>
      <c r="C20" s="6" t="s">
        <v>656</v>
      </c>
      <c r="D20" s="8" t="s">
        <v>639</v>
      </c>
      <c r="E20" s="8" t="s">
        <v>653</v>
      </c>
      <c r="F20" s="8">
        <v>5</v>
      </c>
      <c r="G20" s="7">
        <f t="shared" si="0"/>
        <v>0.19999999999999996</v>
      </c>
      <c r="H20" s="7">
        <v>0.35</v>
      </c>
      <c r="I20" s="7">
        <f t="shared" si="1"/>
        <v>6.9999999999999979E-2</v>
      </c>
    </row>
    <row r="21" spans="1:9" x14ac:dyDescent="0.45">
      <c r="A21" s="40"/>
      <c r="B21" s="6" t="s">
        <v>655</v>
      </c>
      <c r="C21" s="6" t="s">
        <v>654</v>
      </c>
      <c r="D21" s="8" t="s">
        <v>614</v>
      </c>
      <c r="E21" s="8" t="s">
        <v>653</v>
      </c>
      <c r="F21" s="8">
        <v>5</v>
      </c>
      <c r="G21" s="7">
        <f t="shared" si="0"/>
        <v>1</v>
      </c>
      <c r="H21" s="7">
        <v>0.35</v>
      </c>
      <c r="I21" s="7">
        <f t="shared" si="1"/>
        <v>0.35</v>
      </c>
    </row>
    <row r="22" spans="1:9" x14ac:dyDescent="0.45">
      <c r="A22" s="14" t="s">
        <v>652</v>
      </c>
      <c r="B22" s="6" t="s">
        <v>651</v>
      </c>
      <c r="C22" s="6" t="s">
        <v>650</v>
      </c>
      <c r="D22" s="8" t="s">
        <v>614</v>
      </c>
      <c r="E22" s="8" t="s">
        <v>649</v>
      </c>
      <c r="F22" s="8">
        <v>5</v>
      </c>
      <c r="G22" s="7">
        <f t="shared" si="0"/>
        <v>1</v>
      </c>
      <c r="H22" s="7">
        <v>0.3</v>
      </c>
      <c r="I22" s="7">
        <f t="shared" si="1"/>
        <v>0.3</v>
      </c>
    </row>
    <row r="23" spans="1:9" x14ac:dyDescent="0.45">
      <c r="A23" s="40" t="s">
        <v>648</v>
      </c>
      <c r="B23" s="6" t="s">
        <v>647</v>
      </c>
      <c r="C23" s="6" t="s">
        <v>646</v>
      </c>
      <c r="D23" s="8" t="s">
        <v>614</v>
      </c>
      <c r="E23" s="8" t="s">
        <v>634</v>
      </c>
      <c r="F23" s="8">
        <v>5</v>
      </c>
      <c r="G23" s="7">
        <f t="shared" si="0"/>
        <v>1</v>
      </c>
      <c r="H23" s="7">
        <v>0.2</v>
      </c>
      <c r="I23" s="7">
        <f t="shared" si="1"/>
        <v>0.2</v>
      </c>
    </row>
    <row r="24" spans="1:9" x14ac:dyDescent="0.45">
      <c r="A24" s="40"/>
      <c r="B24" s="6" t="s">
        <v>645</v>
      </c>
      <c r="C24" s="6" t="s">
        <v>644</v>
      </c>
      <c r="D24" s="8" t="s">
        <v>639</v>
      </c>
      <c r="E24" s="8" t="s">
        <v>634</v>
      </c>
      <c r="F24" s="8">
        <v>5</v>
      </c>
      <c r="G24" s="7">
        <f t="shared" si="0"/>
        <v>0.19999999999999996</v>
      </c>
      <c r="H24" s="7">
        <v>0.2</v>
      </c>
      <c r="I24" s="7">
        <f t="shared" si="1"/>
        <v>3.9999999999999994E-2</v>
      </c>
    </row>
    <row r="25" spans="1:9" x14ac:dyDescent="0.45">
      <c r="A25" s="40"/>
      <c r="B25" s="6" t="s">
        <v>643</v>
      </c>
      <c r="C25" s="6" t="s">
        <v>642</v>
      </c>
      <c r="D25" s="8" t="s">
        <v>614</v>
      </c>
      <c r="E25" s="8" t="s">
        <v>634</v>
      </c>
      <c r="F25" s="8">
        <v>5</v>
      </c>
      <c r="G25" s="7">
        <f t="shared" si="0"/>
        <v>1</v>
      </c>
      <c r="H25" s="7">
        <v>0.2</v>
      </c>
      <c r="I25" s="7">
        <f t="shared" si="1"/>
        <v>0.2</v>
      </c>
    </row>
    <row r="26" spans="1:9" x14ac:dyDescent="0.45">
      <c r="A26" s="40"/>
      <c r="B26" s="6" t="s">
        <v>641</v>
      </c>
      <c r="C26" s="6" t="s">
        <v>640</v>
      </c>
      <c r="D26" s="8" t="s">
        <v>639</v>
      </c>
      <c r="E26" s="8" t="s">
        <v>634</v>
      </c>
      <c r="F26" s="8">
        <v>5</v>
      </c>
      <c r="G26" s="7">
        <f t="shared" si="0"/>
        <v>0.19999999999999996</v>
      </c>
      <c r="H26" s="7">
        <v>0.2</v>
      </c>
      <c r="I26" s="7">
        <f t="shared" si="1"/>
        <v>3.9999999999999994E-2</v>
      </c>
    </row>
    <row r="27" spans="1:9" x14ac:dyDescent="0.45">
      <c r="A27" s="40"/>
      <c r="B27" s="6" t="s">
        <v>638</v>
      </c>
      <c r="C27" s="6" t="s">
        <v>637</v>
      </c>
      <c r="D27" s="8" t="s">
        <v>614</v>
      </c>
      <c r="E27" s="8" t="s">
        <v>634</v>
      </c>
      <c r="F27" s="8">
        <v>5</v>
      </c>
      <c r="G27" s="7">
        <f t="shared" si="0"/>
        <v>1</v>
      </c>
      <c r="H27" s="7">
        <v>0.2</v>
      </c>
      <c r="I27" s="7">
        <f t="shared" si="1"/>
        <v>0.2</v>
      </c>
    </row>
    <row r="28" spans="1:9" x14ac:dyDescent="0.45">
      <c r="A28" s="40"/>
      <c r="B28" s="6" t="s">
        <v>636</v>
      </c>
      <c r="C28" s="6" t="s">
        <v>635</v>
      </c>
      <c r="D28" s="8" t="s">
        <v>614</v>
      </c>
      <c r="E28" s="8" t="s">
        <v>634</v>
      </c>
      <c r="F28" s="8">
        <v>5</v>
      </c>
      <c r="G28" s="7">
        <f t="shared" si="0"/>
        <v>1</v>
      </c>
      <c r="H28" s="7">
        <v>0.2</v>
      </c>
      <c r="I28" s="7">
        <f t="shared" si="1"/>
        <v>0.2</v>
      </c>
    </row>
    <row r="29" spans="1:9" x14ac:dyDescent="0.45">
      <c r="A29" s="40" t="s">
        <v>633</v>
      </c>
      <c r="B29" s="6" t="s">
        <v>632</v>
      </c>
      <c r="C29" s="6" t="s">
        <v>631</v>
      </c>
      <c r="D29" s="8" t="s">
        <v>614</v>
      </c>
      <c r="E29" s="8" t="s">
        <v>613</v>
      </c>
      <c r="F29" s="8">
        <v>5</v>
      </c>
      <c r="G29" s="7">
        <f t="shared" si="0"/>
        <v>1</v>
      </c>
      <c r="H29" s="7">
        <v>0.15</v>
      </c>
      <c r="I29" s="7">
        <f t="shared" si="1"/>
        <v>0.15</v>
      </c>
    </row>
    <row r="30" spans="1:9" x14ac:dyDescent="0.45">
      <c r="A30" s="40"/>
      <c r="B30" s="6" t="s">
        <v>630</v>
      </c>
      <c r="C30" s="6" t="s">
        <v>629</v>
      </c>
      <c r="D30" s="8" t="s">
        <v>614</v>
      </c>
      <c r="E30" s="8" t="s">
        <v>613</v>
      </c>
      <c r="F30" s="8">
        <v>5</v>
      </c>
      <c r="G30" s="7">
        <f t="shared" si="0"/>
        <v>1</v>
      </c>
      <c r="H30" s="7">
        <v>0.15</v>
      </c>
      <c r="I30" s="7">
        <f t="shared" si="1"/>
        <v>0.15</v>
      </c>
    </row>
    <row r="31" spans="1:9" x14ac:dyDescent="0.45">
      <c r="A31" s="40"/>
      <c r="B31" s="6" t="s">
        <v>628</v>
      </c>
      <c r="C31" s="6" t="s">
        <v>627</v>
      </c>
      <c r="D31" s="8" t="s">
        <v>614</v>
      </c>
      <c r="E31" s="8" t="s">
        <v>613</v>
      </c>
      <c r="F31" s="8">
        <v>5</v>
      </c>
      <c r="G31" s="7">
        <f t="shared" si="0"/>
        <v>1</v>
      </c>
      <c r="H31" s="7">
        <v>0.15</v>
      </c>
      <c r="I31" s="7">
        <f t="shared" si="1"/>
        <v>0.15</v>
      </c>
    </row>
    <row r="32" spans="1:9" x14ac:dyDescent="0.45">
      <c r="A32" s="40"/>
      <c r="B32" s="6" t="s">
        <v>626</v>
      </c>
      <c r="C32" s="6" t="s">
        <v>625</v>
      </c>
      <c r="D32" s="8" t="s">
        <v>614</v>
      </c>
      <c r="E32" s="8" t="s">
        <v>613</v>
      </c>
      <c r="F32" s="8">
        <v>5</v>
      </c>
      <c r="G32" s="7">
        <f t="shared" si="0"/>
        <v>1</v>
      </c>
      <c r="H32" s="7">
        <v>0.15</v>
      </c>
      <c r="I32" s="7">
        <f t="shared" si="1"/>
        <v>0.15</v>
      </c>
    </row>
    <row r="33" spans="1:9" x14ac:dyDescent="0.45">
      <c r="A33" s="40"/>
      <c r="B33" s="6" t="s">
        <v>624</v>
      </c>
      <c r="C33" s="6" t="s">
        <v>623</v>
      </c>
      <c r="D33" s="8" t="s">
        <v>614</v>
      </c>
      <c r="E33" s="8" t="s">
        <v>613</v>
      </c>
      <c r="F33" s="8">
        <v>5</v>
      </c>
      <c r="G33" s="7">
        <f t="shared" si="0"/>
        <v>1</v>
      </c>
      <c r="H33" s="7">
        <v>0.15</v>
      </c>
      <c r="I33" s="7">
        <f t="shared" si="1"/>
        <v>0.15</v>
      </c>
    </row>
    <row r="34" spans="1:9" x14ac:dyDescent="0.45">
      <c r="A34" s="40"/>
      <c r="B34" s="6" t="s">
        <v>622</v>
      </c>
      <c r="C34" s="6" t="s">
        <v>621</v>
      </c>
      <c r="D34" s="8" t="s">
        <v>614</v>
      </c>
      <c r="E34" s="8" t="s">
        <v>613</v>
      </c>
      <c r="F34" s="8">
        <v>5</v>
      </c>
      <c r="G34" s="7">
        <f t="shared" si="0"/>
        <v>1</v>
      </c>
      <c r="H34" s="7">
        <v>0.15</v>
      </c>
      <c r="I34" s="7">
        <f t="shared" si="1"/>
        <v>0.15</v>
      </c>
    </row>
    <row r="35" spans="1:9" x14ac:dyDescent="0.45">
      <c r="A35" s="40"/>
      <c r="B35" s="6" t="s">
        <v>620</v>
      </c>
      <c r="C35" s="6" t="s">
        <v>619</v>
      </c>
      <c r="D35" s="8" t="s">
        <v>614</v>
      </c>
      <c r="E35" s="8" t="s">
        <v>613</v>
      </c>
      <c r="F35" s="8">
        <v>5</v>
      </c>
      <c r="G35" s="7">
        <f t="shared" si="0"/>
        <v>1</v>
      </c>
      <c r="H35" s="7">
        <v>0.15</v>
      </c>
      <c r="I35" s="7">
        <f t="shared" si="1"/>
        <v>0.15</v>
      </c>
    </row>
    <row r="36" spans="1:9" x14ac:dyDescent="0.45">
      <c r="A36" s="40"/>
      <c r="B36" s="6" t="s">
        <v>618</v>
      </c>
      <c r="C36" s="6" t="s">
        <v>617</v>
      </c>
      <c r="D36" s="8" t="s">
        <v>614</v>
      </c>
      <c r="E36" s="8" t="s">
        <v>613</v>
      </c>
      <c r="F36" s="8">
        <v>5</v>
      </c>
      <c r="G36" s="7">
        <f t="shared" si="0"/>
        <v>1</v>
      </c>
      <c r="H36" s="7">
        <v>0.15</v>
      </c>
      <c r="I36" s="7">
        <f t="shared" si="1"/>
        <v>0.15</v>
      </c>
    </row>
    <row r="37" spans="1:9" x14ac:dyDescent="0.45">
      <c r="A37" s="41"/>
      <c r="B37" s="6" t="s">
        <v>616</v>
      </c>
      <c r="C37" s="6" t="s">
        <v>615</v>
      </c>
      <c r="D37" s="8" t="s">
        <v>614</v>
      </c>
      <c r="E37" s="8" t="s">
        <v>613</v>
      </c>
      <c r="F37" s="8">
        <v>5</v>
      </c>
      <c r="G37" s="7">
        <f t="shared" si="0"/>
        <v>1</v>
      </c>
      <c r="H37" s="7">
        <v>0.15</v>
      </c>
      <c r="I37" s="7">
        <f t="shared" si="1"/>
        <v>0.15</v>
      </c>
    </row>
    <row r="38" spans="1:9" x14ac:dyDescent="0.45">
      <c r="A38" s="42" t="s">
        <v>612</v>
      </c>
      <c r="B38" s="43"/>
      <c r="C38" s="43"/>
      <c r="D38" s="43"/>
      <c r="E38" s="43"/>
      <c r="F38" s="43"/>
      <c r="G38" s="43"/>
      <c r="H38" s="44"/>
      <c r="I38" s="13">
        <f>SUM(I4:I37)</f>
        <v>7.9900000000000038</v>
      </c>
    </row>
    <row r="39" spans="1:9" x14ac:dyDescent="0.45">
      <c r="A39" s="42" t="s">
        <v>611</v>
      </c>
      <c r="B39" s="43"/>
      <c r="C39" s="43"/>
      <c r="D39" s="43"/>
      <c r="E39" s="43"/>
      <c r="F39" s="43"/>
      <c r="G39" s="43"/>
      <c r="H39" s="44"/>
      <c r="I39" s="13">
        <f>IF(SUM(H4:H37)=0,"",I38/SUM(H4:H37))</f>
        <v>0.87322404371584716</v>
      </c>
    </row>
    <row r="42" spans="1:9" ht="17.399999999999999" customHeight="1" x14ac:dyDescent="0.45">
      <c r="A42" s="33" t="s">
        <v>610</v>
      </c>
      <c r="B42" s="34"/>
      <c r="C42" s="34"/>
      <c r="D42" s="35"/>
    </row>
    <row r="43" spans="1:9" x14ac:dyDescent="0.45">
      <c r="A43" s="36"/>
      <c r="B43" s="37"/>
      <c r="C43" s="37"/>
      <c r="D43" s="38"/>
    </row>
    <row r="44" spans="1:9" x14ac:dyDescent="0.45">
      <c r="A44" s="12" t="s">
        <v>609</v>
      </c>
      <c r="B44" s="12" t="s">
        <v>608</v>
      </c>
      <c r="C44" s="12" t="s">
        <v>607</v>
      </c>
      <c r="D44" s="12" t="s">
        <v>606</v>
      </c>
    </row>
    <row r="45" spans="1:9" x14ac:dyDescent="0.45">
      <c r="A45" s="1" t="s">
        <v>605</v>
      </c>
      <c r="B45" s="1" t="s">
        <v>604</v>
      </c>
      <c r="C45" s="9" t="s">
        <v>603</v>
      </c>
      <c r="D45" s="1">
        <v>5</v>
      </c>
    </row>
    <row r="46" spans="1:9" x14ac:dyDescent="0.45">
      <c r="A46" s="31"/>
      <c r="B46" s="31"/>
      <c r="C46" s="9" t="s">
        <v>602</v>
      </c>
      <c r="D46" s="31"/>
    </row>
    <row r="47" spans="1:9" x14ac:dyDescent="0.45">
      <c r="A47" s="31"/>
      <c r="B47" s="31"/>
      <c r="C47" s="9" t="s">
        <v>601</v>
      </c>
      <c r="D47" s="31"/>
    </row>
    <row r="48" spans="1:9" x14ac:dyDescent="0.45">
      <c r="A48" s="31"/>
      <c r="B48" s="31"/>
      <c r="C48" s="9" t="s">
        <v>600</v>
      </c>
      <c r="D48" s="31"/>
    </row>
    <row r="49" spans="1:4" x14ac:dyDescent="0.45">
      <c r="A49" s="31"/>
      <c r="B49" s="32"/>
      <c r="C49" s="9" t="s">
        <v>599</v>
      </c>
      <c r="D49" s="32"/>
    </row>
    <row r="50" spans="1:4" x14ac:dyDescent="0.45">
      <c r="A50" s="31"/>
      <c r="B50" s="1" t="s">
        <v>598</v>
      </c>
      <c r="C50" s="9" t="s">
        <v>597</v>
      </c>
      <c r="D50" s="1">
        <v>3</v>
      </c>
    </row>
    <row r="51" spans="1:4" x14ac:dyDescent="0.45">
      <c r="A51" s="31"/>
      <c r="B51" s="31"/>
      <c r="C51" s="9" t="s">
        <v>596</v>
      </c>
      <c r="D51" s="31"/>
    </row>
    <row r="52" spans="1:4" x14ac:dyDescent="0.45">
      <c r="A52" s="31"/>
      <c r="B52" s="32"/>
      <c r="C52" s="9" t="s">
        <v>595</v>
      </c>
      <c r="D52" s="32"/>
    </row>
    <row r="53" spans="1:4" x14ac:dyDescent="0.45">
      <c r="A53" s="31"/>
      <c r="B53" s="1" t="s">
        <v>594</v>
      </c>
      <c r="C53" s="9" t="s">
        <v>593</v>
      </c>
      <c r="D53" s="1">
        <v>3</v>
      </c>
    </row>
    <row r="54" spans="1:4" x14ac:dyDescent="0.45">
      <c r="A54" s="31"/>
      <c r="B54" s="31"/>
      <c r="C54" s="9" t="s">
        <v>592</v>
      </c>
      <c r="D54" s="31"/>
    </row>
    <row r="55" spans="1:4" x14ac:dyDescent="0.45">
      <c r="A55" s="31"/>
      <c r="B55" s="31"/>
      <c r="C55" s="9" t="s">
        <v>591</v>
      </c>
      <c r="D55" s="31"/>
    </row>
    <row r="56" spans="1:4" x14ac:dyDescent="0.45">
      <c r="A56" s="31"/>
      <c r="B56" s="32"/>
      <c r="C56" s="9" t="s">
        <v>590</v>
      </c>
      <c r="D56" s="32"/>
    </row>
    <row r="57" spans="1:4" x14ac:dyDescent="0.45">
      <c r="A57" s="31"/>
      <c r="B57" s="1" t="s">
        <v>589</v>
      </c>
      <c r="C57" s="9" t="s">
        <v>588</v>
      </c>
      <c r="D57" s="1">
        <v>3</v>
      </c>
    </row>
    <row r="58" spans="1:4" x14ac:dyDescent="0.45">
      <c r="A58" s="31"/>
      <c r="B58" s="31"/>
      <c r="C58" s="9" t="s">
        <v>587</v>
      </c>
      <c r="D58" s="31"/>
    </row>
    <row r="59" spans="1:4" x14ac:dyDescent="0.45">
      <c r="A59" s="31"/>
      <c r="B59" s="32"/>
      <c r="C59" s="9" t="s">
        <v>586</v>
      </c>
      <c r="D59" s="32"/>
    </row>
    <row r="60" spans="1:4" x14ac:dyDescent="0.45">
      <c r="A60" s="31"/>
      <c r="B60" s="1" t="s">
        <v>585</v>
      </c>
      <c r="C60" s="9" t="s">
        <v>584</v>
      </c>
      <c r="D60" s="1">
        <v>4</v>
      </c>
    </row>
    <row r="61" spans="1:4" x14ac:dyDescent="0.45">
      <c r="A61" s="31"/>
      <c r="B61" s="31"/>
      <c r="C61" s="9" t="s">
        <v>583</v>
      </c>
      <c r="D61" s="31"/>
    </row>
    <row r="62" spans="1:4" x14ac:dyDescent="0.45">
      <c r="A62" s="31"/>
      <c r="B62" s="31"/>
      <c r="C62" s="9" t="s">
        <v>582</v>
      </c>
      <c r="D62" s="31"/>
    </row>
    <row r="63" spans="1:4" x14ac:dyDescent="0.45">
      <c r="A63" s="31"/>
      <c r="B63" s="32"/>
      <c r="C63" s="9" t="s">
        <v>581</v>
      </c>
      <c r="D63" s="32"/>
    </row>
    <row r="64" spans="1:4" x14ac:dyDescent="0.45">
      <c r="A64" s="31"/>
      <c r="B64" s="1" t="s">
        <v>580</v>
      </c>
      <c r="C64" s="9" t="s">
        <v>579</v>
      </c>
      <c r="D64" s="1">
        <v>3</v>
      </c>
    </row>
    <row r="65" spans="1:4" x14ac:dyDescent="0.45">
      <c r="A65" s="31"/>
      <c r="B65" s="31"/>
      <c r="C65" s="9" t="s">
        <v>578</v>
      </c>
      <c r="D65" s="31"/>
    </row>
    <row r="66" spans="1:4" x14ac:dyDescent="0.45">
      <c r="A66" s="32"/>
      <c r="B66" s="32"/>
      <c r="C66" s="9" t="s">
        <v>577</v>
      </c>
      <c r="D66" s="32"/>
    </row>
    <row r="67" spans="1:4" x14ac:dyDescent="0.45">
      <c r="A67" s="45" t="s">
        <v>538</v>
      </c>
      <c r="B67" s="46"/>
      <c r="C67" s="47"/>
      <c r="D67" s="11">
        <f>(SUM(D44:D65)/6)*5</f>
        <v>17.5</v>
      </c>
    </row>
    <row r="68" spans="1:4" x14ac:dyDescent="0.45">
      <c r="A68" s="1" t="s">
        <v>576</v>
      </c>
      <c r="B68" s="1" t="s">
        <v>575</v>
      </c>
      <c r="C68" s="9" t="s">
        <v>567</v>
      </c>
      <c r="D68" s="1">
        <v>2</v>
      </c>
    </row>
    <row r="69" spans="1:4" x14ac:dyDescent="0.45">
      <c r="A69" s="31"/>
      <c r="B69" s="32"/>
      <c r="C69" s="9" t="s">
        <v>574</v>
      </c>
      <c r="D69" s="32"/>
    </row>
    <row r="70" spans="1:4" x14ac:dyDescent="0.45">
      <c r="A70" s="31"/>
      <c r="B70" s="1" t="s">
        <v>573</v>
      </c>
      <c r="C70" s="9" t="s">
        <v>567</v>
      </c>
      <c r="D70" s="1">
        <v>2</v>
      </c>
    </row>
    <row r="71" spans="1:4" x14ac:dyDescent="0.45">
      <c r="A71" s="31"/>
      <c r="B71" s="32"/>
      <c r="C71" s="9" t="s">
        <v>572</v>
      </c>
      <c r="D71" s="32"/>
    </row>
    <row r="72" spans="1:4" x14ac:dyDescent="0.45">
      <c r="A72" s="31"/>
      <c r="B72" s="1" t="s">
        <v>571</v>
      </c>
      <c r="C72" s="9" t="s">
        <v>570</v>
      </c>
      <c r="D72" s="1">
        <v>2</v>
      </c>
    </row>
    <row r="73" spans="1:4" x14ac:dyDescent="0.45">
      <c r="A73" s="31"/>
      <c r="B73" s="32"/>
      <c r="C73" s="9" t="s">
        <v>569</v>
      </c>
      <c r="D73" s="32"/>
    </row>
    <row r="74" spans="1:4" x14ac:dyDescent="0.45">
      <c r="A74" s="31"/>
      <c r="B74" s="1" t="s">
        <v>568</v>
      </c>
      <c r="C74" s="9" t="s">
        <v>567</v>
      </c>
      <c r="D74" s="1">
        <v>2</v>
      </c>
    </row>
    <row r="75" spans="1:4" x14ac:dyDescent="0.45">
      <c r="A75" s="32"/>
      <c r="B75" s="32"/>
      <c r="C75" s="9" t="s">
        <v>566</v>
      </c>
      <c r="D75" s="32"/>
    </row>
    <row r="76" spans="1:4" x14ac:dyDescent="0.45">
      <c r="A76" s="45" t="s">
        <v>538</v>
      </c>
      <c r="B76" s="46"/>
      <c r="C76" s="47"/>
      <c r="D76" s="11">
        <f>(SUM(D68:D75)/4)*5</f>
        <v>10</v>
      </c>
    </row>
    <row r="77" spans="1:4" x14ac:dyDescent="0.45">
      <c r="A77" s="1" t="s">
        <v>565</v>
      </c>
      <c r="B77" s="1" t="s">
        <v>564</v>
      </c>
      <c r="C77" s="9" t="s">
        <v>563</v>
      </c>
      <c r="D77" s="1">
        <v>3</v>
      </c>
    </row>
    <row r="78" spans="1:4" x14ac:dyDescent="0.45">
      <c r="A78" s="31"/>
      <c r="B78" s="31"/>
      <c r="C78" s="9" t="s">
        <v>562</v>
      </c>
      <c r="D78" s="31"/>
    </row>
    <row r="79" spans="1:4" x14ac:dyDescent="0.45">
      <c r="A79" s="31"/>
      <c r="B79" s="32"/>
      <c r="C79" s="9" t="s">
        <v>561</v>
      </c>
      <c r="D79" s="32"/>
    </row>
    <row r="80" spans="1:4" x14ac:dyDescent="0.45">
      <c r="A80" s="31"/>
      <c r="B80" s="1" t="s">
        <v>560</v>
      </c>
      <c r="C80" s="9" t="s">
        <v>559</v>
      </c>
      <c r="D80" s="1">
        <v>4</v>
      </c>
    </row>
    <row r="81" spans="1:4" x14ac:dyDescent="0.45">
      <c r="A81" s="31"/>
      <c r="B81" s="31"/>
      <c r="C81" s="9" t="s">
        <v>558</v>
      </c>
      <c r="D81" s="31"/>
    </row>
    <row r="82" spans="1:4" x14ac:dyDescent="0.45">
      <c r="A82" s="31"/>
      <c r="B82" s="31"/>
      <c r="C82" s="9" t="s">
        <v>557</v>
      </c>
      <c r="D82" s="31"/>
    </row>
    <row r="83" spans="1:4" x14ac:dyDescent="0.45">
      <c r="A83" s="31"/>
      <c r="B83" s="32"/>
      <c r="C83" s="9" t="s">
        <v>556</v>
      </c>
      <c r="D83" s="32"/>
    </row>
    <row r="84" spans="1:4" x14ac:dyDescent="0.45">
      <c r="A84" s="31"/>
      <c r="B84" s="1" t="s">
        <v>555</v>
      </c>
      <c r="C84" s="9" t="s">
        <v>554</v>
      </c>
      <c r="D84" s="1">
        <v>3</v>
      </c>
    </row>
    <row r="85" spans="1:4" x14ac:dyDescent="0.45">
      <c r="A85" s="31"/>
      <c r="B85" s="31"/>
      <c r="C85" s="9" t="s">
        <v>553</v>
      </c>
      <c r="D85" s="31"/>
    </row>
    <row r="86" spans="1:4" x14ac:dyDescent="0.45">
      <c r="A86" s="31"/>
      <c r="B86" s="32"/>
      <c r="C86" s="9" t="s">
        <v>552</v>
      </c>
      <c r="D86" s="32"/>
    </row>
    <row r="87" spans="1:4" x14ac:dyDescent="0.45">
      <c r="A87" s="31"/>
      <c r="B87" s="1" t="s">
        <v>551</v>
      </c>
      <c r="C87" s="9" t="s">
        <v>550</v>
      </c>
      <c r="D87" s="1">
        <v>3</v>
      </c>
    </row>
    <row r="88" spans="1:4" x14ac:dyDescent="0.45">
      <c r="A88" s="31"/>
      <c r="B88" s="31"/>
      <c r="C88" s="9" t="s">
        <v>549</v>
      </c>
      <c r="D88" s="31"/>
    </row>
    <row r="89" spans="1:4" x14ac:dyDescent="0.45">
      <c r="A89" s="31"/>
      <c r="B89" s="32"/>
      <c r="C89" s="9" t="s">
        <v>548</v>
      </c>
      <c r="D89" s="32"/>
    </row>
    <row r="90" spans="1:4" x14ac:dyDescent="0.45">
      <c r="A90" s="31"/>
      <c r="B90" s="1" t="s">
        <v>547</v>
      </c>
      <c r="C90" s="9" t="s">
        <v>546</v>
      </c>
      <c r="D90" s="1">
        <v>4</v>
      </c>
    </row>
    <row r="91" spans="1:4" x14ac:dyDescent="0.45">
      <c r="A91" s="31"/>
      <c r="B91" s="31"/>
      <c r="C91" s="9" t="s">
        <v>545</v>
      </c>
      <c r="D91" s="31"/>
    </row>
    <row r="92" spans="1:4" x14ac:dyDescent="0.45">
      <c r="A92" s="31"/>
      <c r="B92" s="31"/>
      <c r="C92" s="9" t="s">
        <v>544</v>
      </c>
      <c r="D92" s="31"/>
    </row>
    <row r="93" spans="1:4" x14ac:dyDescent="0.45">
      <c r="A93" s="31"/>
      <c r="B93" s="32"/>
      <c r="C93" s="9" t="s">
        <v>543</v>
      </c>
      <c r="D93" s="32"/>
    </row>
    <row r="94" spans="1:4" x14ac:dyDescent="0.45">
      <c r="A94" s="31"/>
      <c r="B94" s="1" t="s">
        <v>542</v>
      </c>
      <c r="C94" s="9" t="s">
        <v>541</v>
      </c>
      <c r="D94" s="1">
        <v>3</v>
      </c>
    </row>
    <row r="95" spans="1:4" x14ac:dyDescent="0.45">
      <c r="A95" s="31"/>
      <c r="B95" s="31"/>
      <c r="C95" s="9" t="s">
        <v>540</v>
      </c>
      <c r="D95" s="31"/>
    </row>
    <row r="96" spans="1:4" x14ac:dyDescent="0.45">
      <c r="A96" s="32"/>
      <c r="B96" s="32"/>
      <c r="C96" s="9" t="s">
        <v>539</v>
      </c>
      <c r="D96" s="32"/>
    </row>
    <row r="97" spans="1:4" x14ac:dyDescent="0.45">
      <c r="A97" s="45" t="s">
        <v>538</v>
      </c>
      <c r="B97" s="46"/>
      <c r="C97" s="47"/>
      <c r="D97" s="11">
        <f>(SUM(D77:D96)/6)*5</f>
        <v>16.666666666666668</v>
      </c>
    </row>
    <row r="98" spans="1:4" x14ac:dyDescent="0.45">
      <c r="A98" s="42" t="s">
        <v>537</v>
      </c>
      <c r="B98" s="43"/>
      <c r="C98" s="44"/>
      <c r="D98" s="10">
        <f>SUM(D97,D76,D67)</f>
        <v>44.166666666666671</v>
      </c>
    </row>
    <row r="99" spans="1:4" x14ac:dyDescent="0.45">
      <c r="A99" s="48" t="s">
        <v>536</v>
      </c>
      <c r="B99" s="49"/>
      <c r="C99" s="50"/>
      <c r="D99" s="9">
        <f>D98/50</f>
        <v>0.88333333333333341</v>
      </c>
    </row>
  </sheetData>
  <mergeCells count="47">
    <mergeCell ref="D87:D89"/>
    <mergeCell ref="A97:C97"/>
    <mergeCell ref="A98:C98"/>
    <mergeCell ref="A99:C99"/>
    <mergeCell ref="A76:C76"/>
    <mergeCell ref="A77:A96"/>
    <mergeCell ref="B77:B79"/>
    <mergeCell ref="B90:B93"/>
    <mergeCell ref="D90:D93"/>
    <mergeCell ref="B94:B96"/>
    <mergeCell ref="D94:D96"/>
    <mergeCell ref="A67:C67"/>
    <mergeCell ref="A68:A75"/>
    <mergeCell ref="B68:B69"/>
    <mergeCell ref="D68:D69"/>
    <mergeCell ref="B70:B71"/>
    <mergeCell ref="D70:D71"/>
    <mergeCell ref="B72:B73"/>
    <mergeCell ref="D77:D79"/>
    <mergeCell ref="B80:B83"/>
    <mergeCell ref="D80:D83"/>
    <mergeCell ref="B84:B86"/>
    <mergeCell ref="D84:D86"/>
    <mergeCell ref="B87:B89"/>
    <mergeCell ref="D72:D73"/>
    <mergeCell ref="B74:B75"/>
    <mergeCell ref="D74:D75"/>
    <mergeCell ref="A39:H39"/>
    <mergeCell ref="A42:D43"/>
    <mergeCell ref="A45:A66"/>
    <mergeCell ref="B45:B49"/>
    <mergeCell ref="D45:D49"/>
    <mergeCell ref="B50:B52"/>
    <mergeCell ref="D50:D52"/>
    <mergeCell ref="B64:B66"/>
    <mergeCell ref="D64:D66"/>
    <mergeCell ref="A1:I2"/>
    <mergeCell ref="A4:A21"/>
    <mergeCell ref="A23:A28"/>
    <mergeCell ref="A29:A37"/>
    <mergeCell ref="A38:H38"/>
    <mergeCell ref="B53:B56"/>
    <mergeCell ref="D53:D56"/>
    <mergeCell ref="B57:B59"/>
    <mergeCell ref="D57:D59"/>
    <mergeCell ref="B60:B63"/>
    <mergeCell ref="D60:D63"/>
  </mergeCells>
  <phoneticPr fontId="1" type="noConversion"/>
  <conditionalFormatting sqref="A3:I4 B5:E21 F5:I37 A22:E23 B24:E28 A29:E29 B30:E37 A38 I38">
    <cfRule type="notContainsErrors" dxfId="1" priority="1">
      <formula>NOT(ISERROR(A3))</formula>
    </cfRule>
  </conditionalFormatting>
  <dataValidations count="2">
    <dataValidation type="whole" allowBlank="1" showInputMessage="1" showErrorMessage="1" errorTitle="입력 오류" error="1~5 사이 정수만 입력하세요." promptTitle="점수 입력" prompt="1~5 사이 정수" sqref="F4:F37" xr:uid="{00000000-0002-0000-0400-000001000000}">
      <formula1>1</formula1>
      <formula2>5</formula2>
    </dataValidation>
    <dataValidation type="list" allowBlank="1" showInputMessage="1" showErrorMessage="1" promptTitle="부정/긍정" prompt="“+” 또는 “-” 선택" sqref="D4:D37" xr:uid="{00000000-0002-0000-0400-000000000000}">
      <formula1>"+,-"</formula1>
    </dataValidation>
  </dataValidations>
  <pageMargins left="0.69972223043441772" right="0.69972223043441772" top="0.75" bottom="0.75" header="0.30000001192092896" footer="0.30000001192092896"/>
  <pageSetup paperSize="9" fitToWidth="0" fitToHeight="0"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7A211-3F5B-4064-8AF2-D5480948A595}">
  <dimension ref="A1:L99"/>
  <sheetViews>
    <sheetView zoomScale="71" zoomScaleNormal="71" zoomScaleSheetLayoutView="71" workbookViewId="0">
      <selection sqref="A1:I2"/>
    </sheetView>
  </sheetViews>
  <sheetFormatPr defaultColWidth="8.83203125" defaultRowHeight="17" x14ac:dyDescent="0.45"/>
  <cols>
    <col min="1" max="1" width="17" style="6" bestFit="1" customWidth="1"/>
    <col min="2" max="2" width="18.08203125" style="6" bestFit="1" customWidth="1"/>
    <col min="3" max="3" width="50" style="6" bestFit="1" customWidth="1"/>
    <col min="4" max="4" width="19.08203125" style="8" bestFit="1" customWidth="1"/>
    <col min="5" max="5" width="13.6640625" style="8" bestFit="1" customWidth="1"/>
    <col min="6" max="6" width="9.5" style="8" bestFit="1" customWidth="1"/>
    <col min="7" max="7" width="24.4140625" style="7" bestFit="1" customWidth="1"/>
    <col min="8" max="8" width="6.83203125" style="7" bestFit="1" customWidth="1"/>
    <col min="9" max="9" width="21" style="7" bestFit="1" customWidth="1"/>
    <col min="10" max="10" width="8.83203125" style="6"/>
    <col min="11" max="11" width="45.5" style="6" bestFit="1" customWidth="1"/>
    <col min="12" max="12" width="8.83203125" style="6" bestFit="1" customWidth="1"/>
    <col min="13" max="16384" width="8.83203125" style="6"/>
  </cols>
  <sheetData>
    <row r="1" spans="1:12" ht="34" x14ac:dyDescent="0.45">
      <c r="A1" s="33" t="s">
        <v>701</v>
      </c>
      <c r="B1" s="34"/>
      <c r="C1" s="34"/>
      <c r="D1" s="34"/>
      <c r="E1" s="34"/>
      <c r="F1" s="34"/>
      <c r="G1" s="34"/>
      <c r="H1" s="34"/>
      <c r="I1" s="35"/>
      <c r="K1" s="18" t="s">
        <v>700</v>
      </c>
      <c r="L1" s="17">
        <f>SUM(I39*0.6,D99*0.4)</f>
        <v>0.84393442622950832</v>
      </c>
    </row>
    <row r="2" spans="1:12" x14ac:dyDescent="0.45">
      <c r="A2" s="36"/>
      <c r="B2" s="37"/>
      <c r="C2" s="37"/>
      <c r="D2" s="37"/>
      <c r="E2" s="37"/>
      <c r="F2" s="37"/>
      <c r="G2" s="37"/>
      <c r="H2" s="37"/>
      <c r="I2" s="38"/>
    </row>
    <row r="3" spans="1:12" x14ac:dyDescent="0.45">
      <c r="A3" s="16" t="s">
        <v>699</v>
      </c>
      <c r="B3" s="16" t="s">
        <v>698</v>
      </c>
      <c r="C3" s="16" t="s">
        <v>697</v>
      </c>
      <c r="D3" s="16" t="s">
        <v>696</v>
      </c>
      <c r="E3" s="16" t="s">
        <v>695</v>
      </c>
      <c r="F3" s="16" t="s">
        <v>694</v>
      </c>
      <c r="G3" s="16" t="s">
        <v>693</v>
      </c>
      <c r="H3" s="16" t="s">
        <v>692</v>
      </c>
      <c r="I3" s="16" t="s">
        <v>691</v>
      </c>
    </row>
    <row r="4" spans="1:12" x14ac:dyDescent="0.45">
      <c r="A4" s="39" t="s">
        <v>690</v>
      </c>
      <c r="B4" s="6" t="s">
        <v>689</v>
      </c>
      <c r="C4" s="6" t="s">
        <v>688</v>
      </c>
      <c r="D4" s="8" t="s">
        <v>614</v>
      </c>
      <c r="E4" s="8" t="s">
        <v>653</v>
      </c>
      <c r="F4" s="8">
        <v>5</v>
      </c>
      <c r="G4" s="7">
        <f t="shared" ref="G4:G37" si="0">IF(F4="","",IF(D4="+",0.2+(F4-1)*0.2,1.2-(0.2+(F4-1)*0.2)))</f>
        <v>1</v>
      </c>
      <c r="H4" s="7">
        <v>0.35</v>
      </c>
      <c r="I4" s="7">
        <f t="shared" ref="I4:I37" si="1">IF(G4="","",G4*H4)</f>
        <v>0.35</v>
      </c>
      <c r="K4" s="15"/>
    </row>
    <row r="5" spans="1:12" x14ac:dyDescent="0.45">
      <c r="A5" s="40"/>
      <c r="B5" s="6" t="s">
        <v>687</v>
      </c>
      <c r="C5" s="6" t="s">
        <v>686</v>
      </c>
      <c r="D5" s="8" t="s">
        <v>614</v>
      </c>
      <c r="E5" s="8" t="s">
        <v>653</v>
      </c>
      <c r="F5" s="8">
        <v>5</v>
      </c>
      <c r="G5" s="7">
        <f t="shared" si="0"/>
        <v>1</v>
      </c>
      <c r="H5" s="7">
        <v>0.35</v>
      </c>
      <c r="I5" s="7">
        <f t="shared" si="1"/>
        <v>0.35</v>
      </c>
    </row>
    <row r="6" spans="1:12" x14ac:dyDescent="0.45">
      <c r="A6" s="40"/>
      <c r="B6" s="6" t="s">
        <v>685</v>
      </c>
      <c r="C6" s="6" t="s">
        <v>684</v>
      </c>
      <c r="D6" s="8" t="s">
        <v>614</v>
      </c>
      <c r="E6" s="8" t="s">
        <v>653</v>
      </c>
      <c r="F6" s="8">
        <v>5</v>
      </c>
      <c r="G6" s="7">
        <f t="shared" si="0"/>
        <v>1</v>
      </c>
      <c r="H6" s="7">
        <v>0.35</v>
      </c>
      <c r="I6" s="7">
        <f t="shared" si="1"/>
        <v>0.35</v>
      </c>
    </row>
    <row r="7" spans="1:12" x14ac:dyDescent="0.45">
      <c r="A7" s="40"/>
      <c r="B7" s="6" t="s">
        <v>683</v>
      </c>
      <c r="C7" s="6" t="s">
        <v>682</v>
      </c>
      <c r="D7" s="8" t="s">
        <v>639</v>
      </c>
      <c r="E7" s="8" t="s">
        <v>653</v>
      </c>
      <c r="F7" s="8">
        <v>5</v>
      </c>
      <c r="G7" s="7">
        <f t="shared" si="0"/>
        <v>0.19999999999999996</v>
      </c>
      <c r="H7" s="7">
        <v>0.35</v>
      </c>
      <c r="I7" s="7">
        <f t="shared" si="1"/>
        <v>6.9999999999999979E-2</v>
      </c>
    </row>
    <row r="8" spans="1:12" x14ac:dyDescent="0.45">
      <c r="A8" s="40"/>
      <c r="B8" s="6" t="s">
        <v>681</v>
      </c>
      <c r="C8" s="6" t="s">
        <v>680</v>
      </c>
      <c r="D8" s="8" t="s">
        <v>639</v>
      </c>
      <c r="E8" s="8" t="s">
        <v>653</v>
      </c>
      <c r="F8" s="8">
        <v>5</v>
      </c>
      <c r="G8" s="7">
        <f t="shared" si="0"/>
        <v>0.19999999999999996</v>
      </c>
      <c r="H8" s="7">
        <v>0.35</v>
      </c>
      <c r="I8" s="7">
        <f t="shared" si="1"/>
        <v>6.9999999999999979E-2</v>
      </c>
    </row>
    <row r="9" spans="1:12" x14ac:dyDescent="0.45">
      <c r="A9" s="40"/>
      <c r="B9" s="6" t="s">
        <v>679</v>
      </c>
      <c r="C9" s="6" t="s">
        <v>678</v>
      </c>
      <c r="D9" s="8" t="s">
        <v>614</v>
      </c>
      <c r="E9" s="8" t="s">
        <v>653</v>
      </c>
      <c r="F9" s="8">
        <v>5</v>
      </c>
      <c r="G9" s="7">
        <f t="shared" si="0"/>
        <v>1</v>
      </c>
      <c r="H9" s="7">
        <v>0.35</v>
      </c>
      <c r="I9" s="7">
        <f t="shared" si="1"/>
        <v>0.35</v>
      </c>
    </row>
    <row r="10" spans="1:12" x14ac:dyDescent="0.45">
      <c r="A10" s="40"/>
      <c r="B10" s="6" t="s">
        <v>677</v>
      </c>
      <c r="C10" s="6" t="s">
        <v>676</v>
      </c>
      <c r="D10" s="8" t="s">
        <v>614</v>
      </c>
      <c r="E10" s="8" t="s">
        <v>653</v>
      </c>
      <c r="F10" s="8">
        <v>5</v>
      </c>
      <c r="G10" s="7">
        <f t="shared" si="0"/>
        <v>1</v>
      </c>
      <c r="H10" s="7">
        <v>0.35</v>
      </c>
      <c r="I10" s="7">
        <f t="shared" si="1"/>
        <v>0.35</v>
      </c>
    </row>
    <row r="11" spans="1:12" x14ac:dyDescent="0.45">
      <c r="A11" s="40"/>
      <c r="B11" s="6" t="s">
        <v>675</v>
      </c>
      <c r="C11" s="6" t="s">
        <v>674</v>
      </c>
      <c r="D11" s="8" t="s">
        <v>614</v>
      </c>
      <c r="E11" s="8" t="s">
        <v>653</v>
      </c>
      <c r="F11" s="8">
        <v>5</v>
      </c>
      <c r="G11" s="7">
        <f t="shared" si="0"/>
        <v>1</v>
      </c>
      <c r="H11" s="7">
        <v>0.35</v>
      </c>
      <c r="I11" s="7">
        <f t="shared" si="1"/>
        <v>0.35</v>
      </c>
    </row>
    <row r="12" spans="1:12" x14ac:dyDescent="0.45">
      <c r="A12" s="40"/>
      <c r="B12" s="6" t="s">
        <v>673</v>
      </c>
      <c r="C12" s="6" t="s">
        <v>672</v>
      </c>
      <c r="D12" s="8" t="s">
        <v>614</v>
      </c>
      <c r="E12" s="8" t="s">
        <v>653</v>
      </c>
      <c r="F12" s="8">
        <v>5</v>
      </c>
      <c r="G12" s="7">
        <f t="shared" si="0"/>
        <v>1</v>
      </c>
      <c r="H12" s="7">
        <v>0.35</v>
      </c>
      <c r="I12" s="7">
        <f t="shared" si="1"/>
        <v>0.35</v>
      </c>
    </row>
    <row r="13" spans="1:12" x14ac:dyDescent="0.45">
      <c r="A13" s="40"/>
      <c r="B13" s="6" t="s">
        <v>671</v>
      </c>
      <c r="C13" s="6" t="s">
        <v>670</v>
      </c>
      <c r="D13" s="8" t="s">
        <v>614</v>
      </c>
      <c r="E13" s="8" t="s">
        <v>653</v>
      </c>
      <c r="F13" s="8">
        <v>5</v>
      </c>
      <c r="G13" s="7">
        <f t="shared" si="0"/>
        <v>1</v>
      </c>
      <c r="H13" s="7">
        <v>0.35</v>
      </c>
      <c r="I13" s="7">
        <f t="shared" si="1"/>
        <v>0.35</v>
      </c>
    </row>
    <row r="14" spans="1:12" x14ac:dyDescent="0.45">
      <c r="A14" s="40"/>
      <c r="B14" s="6" t="s">
        <v>669</v>
      </c>
      <c r="C14" s="6" t="s">
        <v>668</v>
      </c>
      <c r="D14" s="8" t="s">
        <v>614</v>
      </c>
      <c r="E14" s="8" t="s">
        <v>653</v>
      </c>
      <c r="F14" s="8">
        <v>5</v>
      </c>
      <c r="G14" s="7">
        <f t="shared" si="0"/>
        <v>1</v>
      </c>
      <c r="H14" s="7">
        <v>0.35</v>
      </c>
      <c r="I14" s="7">
        <f t="shared" si="1"/>
        <v>0.35</v>
      </c>
    </row>
    <row r="15" spans="1:12" x14ac:dyDescent="0.45">
      <c r="A15" s="40"/>
      <c r="B15" s="6" t="s">
        <v>667</v>
      </c>
      <c r="C15" s="6" t="s">
        <v>666</v>
      </c>
      <c r="D15" s="8" t="s">
        <v>614</v>
      </c>
      <c r="E15" s="8" t="s">
        <v>653</v>
      </c>
      <c r="F15" s="8">
        <v>5</v>
      </c>
      <c r="G15" s="7">
        <f t="shared" si="0"/>
        <v>1</v>
      </c>
      <c r="H15" s="7">
        <v>0.35</v>
      </c>
      <c r="I15" s="7">
        <f t="shared" si="1"/>
        <v>0.35</v>
      </c>
    </row>
    <row r="16" spans="1:12" x14ac:dyDescent="0.45">
      <c r="A16" s="40"/>
      <c r="B16" s="6" t="s">
        <v>665</v>
      </c>
      <c r="C16" s="6" t="s">
        <v>664</v>
      </c>
      <c r="D16" s="8" t="s">
        <v>614</v>
      </c>
      <c r="E16" s="8" t="s">
        <v>653</v>
      </c>
      <c r="F16" s="8">
        <v>5</v>
      </c>
      <c r="G16" s="7">
        <f t="shared" si="0"/>
        <v>1</v>
      </c>
      <c r="H16" s="7">
        <v>0.35</v>
      </c>
      <c r="I16" s="7">
        <f t="shared" si="1"/>
        <v>0.35</v>
      </c>
    </row>
    <row r="17" spans="1:9" x14ac:dyDescent="0.45">
      <c r="A17" s="40"/>
      <c r="B17" s="6" t="s">
        <v>663</v>
      </c>
      <c r="C17" s="6" t="s">
        <v>662</v>
      </c>
      <c r="D17" s="8" t="s">
        <v>614</v>
      </c>
      <c r="E17" s="8" t="s">
        <v>653</v>
      </c>
      <c r="F17" s="8">
        <v>5</v>
      </c>
      <c r="G17" s="7">
        <f t="shared" si="0"/>
        <v>1</v>
      </c>
      <c r="H17" s="7">
        <v>0.35</v>
      </c>
      <c r="I17" s="7">
        <f t="shared" si="1"/>
        <v>0.35</v>
      </c>
    </row>
    <row r="18" spans="1:9" x14ac:dyDescent="0.45">
      <c r="A18" s="40"/>
      <c r="B18" s="6" t="s">
        <v>661</v>
      </c>
      <c r="C18" s="6" t="s">
        <v>660</v>
      </c>
      <c r="D18" s="8" t="s">
        <v>614</v>
      </c>
      <c r="E18" s="8" t="s">
        <v>653</v>
      </c>
      <c r="F18" s="8">
        <v>5</v>
      </c>
      <c r="G18" s="7">
        <f t="shared" si="0"/>
        <v>1</v>
      </c>
      <c r="H18" s="7">
        <v>0.35</v>
      </c>
      <c r="I18" s="7">
        <f t="shared" si="1"/>
        <v>0.35</v>
      </c>
    </row>
    <row r="19" spans="1:9" x14ac:dyDescent="0.45">
      <c r="A19" s="40"/>
      <c r="B19" s="6" t="s">
        <v>659</v>
      </c>
      <c r="C19" s="6" t="s">
        <v>658</v>
      </c>
      <c r="D19" s="8" t="s">
        <v>614</v>
      </c>
      <c r="E19" s="8" t="s">
        <v>653</v>
      </c>
      <c r="F19" s="8">
        <v>5</v>
      </c>
      <c r="G19" s="7">
        <f t="shared" si="0"/>
        <v>1</v>
      </c>
      <c r="H19" s="7">
        <v>0.35</v>
      </c>
      <c r="I19" s="7">
        <f t="shared" si="1"/>
        <v>0.35</v>
      </c>
    </row>
    <row r="20" spans="1:9" x14ac:dyDescent="0.45">
      <c r="A20" s="40"/>
      <c r="B20" s="6" t="s">
        <v>657</v>
      </c>
      <c r="C20" s="6" t="s">
        <v>656</v>
      </c>
      <c r="D20" s="8" t="s">
        <v>639</v>
      </c>
      <c r="E20" s="8" t="s">
        <v>653</v>
      </c>
      <c r="F20" s="8">
        <v>5</v>
      </c>
      <c r="G20" s="7">
        <f t="shared" si="0"/>
        <v>0.19999999999999996</v>
      </c>
      <c r="H20" s="7">
        <v>0.35</v>
      </c>
      <c r="I20" s="7">
        <f t="shared" si="1"/>
        <v>6.9999999999999979E-2</v>
      </c>
    </row>
    <row r="21" spans="1:9" x14ac:dyDescent="0.45">
      <c r="A21" s="40"/>
      <c r="B21" s="6" t="s">
        <v>655</v>
      </c>
      <c r="C21" s="6" t="s">
        <v>654</v>
      </c>
      <c r="D21" s="8" t="s">
        <v>614</v>
      </c>
      <c r="E21" s="8" t="s">
        <v>653</v>
      </c>
      <c r="F21" s="8">
        <v>5</v>
      </c>
      <c r="G21" s="7">
        <f t="shared" si="0"/>
        <v>1</v>
      </c>
      <c r="H21" s="7">
        <v>0.35</v>
      </c>
      <c r="I21" s="7">
        <f t="shared" si="1"/>
        <v>0.35</v>
      </c>
    </row>
    <row r="22" spans="1:9" x14ac:dyDescent="0.45">
      <c r="A22" s="14" t="s">
        <v>652</v>
      </c>
      <c r="B22" s="6" t="s">
        <v>651</v>
      </c>
      <c r="C22" s="6" t="s">
        <v>650</v>
      </c>
      <c r="D22" s="8" t="s">
        <v>614</v>
      </c>
      <c r="E22" s="8" t="s">
        <v>649</v>
      </c>
      <c r="F22" s="8">
        <v>5</v>
      </c>
      <c r="G22" s="7">
        <f t="shared" si="0"/>
        <v>1</v>
      </c>
      <c r="H22" s="7">
        <v>0.3</v>
      </c>
      <c r="I22" s="7">
        <f t="shared" si="1"/>
        <v>0.3</v>
      </c>
    </row>
    <row r="23" spans="1:9" x14ac:dyDescent="0.45">
      <c r="A23" s="40" t="s">
        <v>648</v>
      </c>
      <c r="B23" s="6" t="s">
        <v>647</v>
      </c>
      <c r="C23" s="6" t="s">
        <v>646</v>
      </c>
      <c r="D23" s="8" t="s">
        <v>614</v>
      </c>
      <c r="E23" s="8" t="s">
        <v>634</v>
      </c>
      <c r="F23" s="8">
        <v>5</v>
      </c>
      <c r="G23" s="7">
        <f t="shared" si="0"/>
        <v>1</v>
      </c>
      <c r="H23" s="7">
        <v>0.2</v>
      </c>
      <c r="I23" s="7">
        <f t="shared" si="1"/>
        <v>0.2</v>
      </c>
    </row>
    <row r="24" spans="1:9" x14ac:dyDescent="0.45">
      <c r="A24" s="40"/>
      <c r="B24" s="6" t="s">
        <v>645</v>
      </c>
      <c r="C24" s="6" t="s">
        <v>644</v>
      </c>
      <c r="D24" s="8" t="s">
        <v>639</v>
      </c>
      <c r="E24" s="8" t="s">
        <v>634</v>
      </c>
      <c r="F24" s="8">
        <v>5</v>
      </c>
      <c r="G24" s="7">
        <f t="shared" si="0"/>
        <v>0.19999999999999996</v>
      </c>
      <c r="H24" s="7">
        <v>0.2</v>
      </c>
      <c r="I24" s="7">
        <f t="shared" si="1"/>
        <v>3.9999999999999994E-2</v>
      </c>
    </row>
    <row r="25" spans="1:9" x14ac:dyDescent="0.45">
      <c r="A25" s="40"/>
      <c r="B25" s="6" t="s">
        <v>643</v>
      </c>
      <c r="C25" s="6" t="s">
        <v>642</v>
      </c>
      <c r="D25" s="8" t="s">
        <v>614</v>
      </c>
      <c r="E25" s="8" t="s">
        <v>634</v>
      </c>
      <c r="F25" s="8">
        <v>5</v>
      </c>
      <c r="G25" s="7">
        <f t="shared" si="0"/>
        <v>1</v>
      </c>
      <c r="H25" s="7">
        <v>0.2</v>
      </c>
      <c r="I25" s="7">
        <f t="shared" si="1"/>
        <v>0.2</v>
      </c>
    </row>
    <row r="26" spans="1:9" x14ac:dyDescent="0.45">
      <c r="A26" s="40"/>
      <c r="B26" s="6" t="s">
        <v>641</v>
      </c>
      <c r="C26" s="6" t="s">
        <v>640</v>
      </c>
      <c r="D26" s="8" t="s">
        <v>639</v>
      </c>
      <c r="E26" s="8" t="s">
        <v>634</v>
      </c>
      <c r="F26" s="8">
        <v>5</v>
      </c>
      <c r="G26" s="7">
        <f t="shared" si="0"/>
        <v>0.19999999999999996</v>
      </c>
      <c r="H26" s="7">
        <v>0.2</v>
      </c>
      <c r="I26" s="7">
        <f t="shared" si="1"/>
        <v>3.9999999999999994E-2</v>
      </c>
    </row>
    <row r="27" spans="1:9" x14ac:dyDescent="0.45">
      <c r="A27" s="40"/>
      <c r="B27" s="6" t="s">
        <v>638</v>
      </c>
      <c r="C27" s="6" t="s">
        <v>637</v>
      </c>
      <c r="D27" s="8" t="s">
        <v>614</v>
      </c>
      <c r="E27" s="8" t="s">
        <v>634</v>
      </c>
      <c r="F27" s="8">
        <v>5</v>
      </c>
      <c r="G27" s="7">
        <f t="shared" si="0"/>
        <v>1</v>
      </c>
      <c r="H27" s="7">
        <v>0.2</v>
      </c>
      <c r="I27" s="7">
        <f t="shared" si="1"/>
        <v>0.2</v>
      </c>
    </row>
    <row r="28" spans="1:9" x14ac:dyDescent="0.45">
      <c r="A28" s="40"/>
      <c r="B28" s="6" t="s">
        <v>636</v>
      </c>
      <c r="C28" s="6" t="s">
        <v>635</v>
      </c>
      <c r="D28" s="8" t="s">
        <v>614</v>
      </c>
      <c r="E28" s="8" t="s">
        <v>634</v>
      </c>
      <c r="F28" s="8">
        <v>5</v>
      </c>
      <c r="G28" s="7">
        <f t="shared" si="0"/>
        <v>1</v>
      </c>
      <c r="H28" s="7">
        <v>0.2</v>
      </c>
      <c r="I28" s="7">
        <f t="shared" si="1"/>
        <v>0.2</v>
      </c>
    </row>
    <row r="29" spans="1:9" x14ac:dyDescent="0.45">
      <c r="A29" s="40" t="s">
        <v>633</v>
      </c>
      <c r="B29" s="6" t="s">
        <v>632</v>
      </c>
      <c r="C29" s="6" t="s">
        <v>631</v>
      </c>
      <c r="D29" s="8" t="s">
        <v>614</v>
      </c>
      <c r="E29" s="8" t="s">
        <v>613</v>
      </c>
      <c r="F29" s="8">
        <v>5</v>
      </c>
      <c r="G29" s="7">
        <f t="shared" si="0"/>
        <v>1</v>
      </c>
      <c r="H29" s="7">
        <v>0.15</v>
      </c>
      <c r="I29" s="7">
        <f t="shared" si="1"/>
        <v>0.15</v>
      </c>
    </row>
    <row r="30" spans="1:9" x14ac:dyDescent="0.45">
      <c r="A30" s="40"/>
      <c r="B30" s="6" t="s">
        <v>630</v>
      </c>
      <c r="C30" s="6" t="s">
        <v>629</v>
      </c>
      <c r="D30" s="8" t="s">
        <v>614</v>
      </c>
      <c r="E30" s="8" t="s">
        <v>613</v>
      </c>
      <c r="F30" s="8">
        <v>5</v>
      </c>
      <c r="G30" s="7">
        <f t="shared" si="0"/>
        <v>1</v>
      </c>
      <c r="H30" s="7">
        <v>0.15</v>
      </c>
      <c r="I30" s="7">
        <f t="shared" si="1"/>
        <v>0.15</v>
      </c>
    </row>
    <row r="31" spans="1:9" x14ac:dyDescent="0.45">
      <c r="A31" s="40"/>
      <c r="B31" s="6" t="s">
        <v>628</v>
      </c>
      <c r="C31" s="6" t="s">
        <v>627</v>
      </c>
      <c r="D31" s="8" t="s">
        <v>614</v>
      </c>
      <c r="E31" s="8" t="s">
        <v>613</v>
      </c>
      <c r="F31" s="8">
        <v>5</v>
      </c>
      <c r="G31" s="7">
        <f t="shared" si="0"/>
        <v>1</v>
      </c>
      <c r="H31" s="7">
        <v>0.15</v>
      </c>
      <c r="I31" s="7">
        <f t="shared" si="1"/>
        <v>0.15</v>
      </c>
    </row>
    <row r="32" spans="1:9" x14ac:dyDescent="0.45">
      <c r="A32" s="40"/>
      <c r="B32" s="6" t="s">
        <v>626</v>
      </c>
      <c r="C32" s="6" t="s">
        <v>625</v>
      </c>
      <c r="D32" s="8" t="s">
        <v>614</v>
      </c>
      <c r="E32" s="8" t="s">
        <v>613</v>
      </c>
      <c r="F32" s="8">
        <v>5</v>
      </c>
      <c r="G32" s="7">
        <f t="shared" si="0"/>
        <v>1</v>
      </c>
      <c r="H32" s="7">
        <v>0.15</v>
      </c>
      <c r="I32" s="7">
        <f t="shared" si="1"/>
        <v>0.15</v>
      </c>
    </row>
    <row r="33" spans="1:9" x14ac:dyDescent="0.45">
      <c r="A33" s="40"/>
      <c r="B33" s="6" t="s">
        <v>624</v>
      </c>
      <c r="C33" s="6" t="s">
        <v>623</v>
      </c>
      <c r="D33" s="8" t="s">
        <v>614</v>
      </c>
      <c r="E33" s="8" t="s">
        <v>613</v>
      </c>
      <c r="F33" s="8">
        <v>5</v>
      </c>
      <c r="G33" s="7">
        <f t="shared" si="0"/>
        <v>1</v>
      </c>
      <c r="H33" s="7">
        <v>0.15</v>
      </c>
      <c r="I33" s="7">
        <f t="shared" si="1"/>
        <v>0.15</v>
      </c>
    </row>
    <row r="34" spans="1:9" x14ac:dyDescent="0.45">
      <c r="A34" s="40"/>
      <c r="B34" s="6" t="s">
        <v>622</v>
      </c>
      <c r="C34" s="6" t="s">
        <v>621</v>
      </c>
      <c r="D34" s="8" t="s">
        <v>614</v>
      </c>
      <c r="E34" s="8" t="s">
        <v>613</v>
      </c>
      <c r="F34" s="8">
        <v>5</v>
      </c>
      <c r="G34" s="7">
        <f t="shared" si="0"/>
        <v>1</v>
      </c>
      <c r="H34" s="7">
        <v>0.15</v>
      </c>
      <c r="I34" s="7">
        <f t="shared" si="1"/>
        <v>0.15</v>
      </c>
    </row>
    <row r="35" spans="1:9" x14ac:dyDescent="0.45">
      <c r="A35" s="40"/>
      <c r="B35" s="6" t="s">
        <v>620</v>
      </c>
      <c r="C35" s="6" t="s">
        <v>619</v>
      </c>
      <c r="D35" s="8" t="s">
        <v>614</v>
      </c>
      <c r="E35" s="8" t="s">
        <v>613</v>
      </c>
      <c r="F35" s="8">
        <v>5</v>
      </c>
      <c r="G35" s="7">
        <f t="shared" si="0"/>
        <v>1</v>
      </c>
      <c r="H35" s="7">
        <v>0.15</v>
      </c>
      <c r="I35" s="7">
        <f t="shared" si="1"/>
        <v>0.15</v>
      </c>
    </row>
    <row r="36" spans="1:9" x14ac:dyDescent="0.45">
      <c r="A36" s="40"/>
      <c r="B36" s="6" t="s">
        <v>618</v>
      </c>
      <c r="C36" s="6" t="s">
        <v>617</v>
      </c>
      <c r="D36" s="8" t="s">
        <v>614</v>
      </c>
      <c r="E36" s="8" t="s">
        <v>613</v>
      </c>
      <c r="F36" s="8">
        <v>5</v>
      </c>
      <c r="G36" s="7">
        <f t="shared" si="0"/>
        <v>1</v>
      </c>
      <c r="H36" s="7">
        <v>0.15</v>
      </c>
      <c r="I36" s="7">
        <f t="shared" si="1"/>
        <v>0.15</v>
      </c>
    </row>
    <row r="37" spans="1:9" x14ac:dyDescent="0.45">
      <c r="A37" s="41"/>
      <c r="B37" s="6" t="s">
        <v>616</v>
      </c>
      <c r="C37" s="6" t="s">
        <v>615</v>
      </c>
      <c r="D37" s="8" t="s">
        <v>614</v>
      </c>
      <c r="E37" s="8" t="s">
        <v>613</v>
      </c>
      <c r="F37" s="8">
        <v>5</v>
      </c>
      <c r="G37" s="7">
        <f t="shared" si="0"/>
        <v>1</v>
      </c>
      <c r="H37" s="7">
        <v>0.15</v>
      </c>
      <c r="I37" s="7">
        <f t="shared" si="1"/>
        <v>0.15</v>
      </c>
    </row>
    <row r="38" spans="1:9" x14ac:dyDescent="0.45">
      <c r="A38" s="42" t="s">
        <v>612</v>
      </c>
      <c r="B38" s="43"/>
      <c r="C38" s="43"/>
      <c r="D38" s="43"/>
      <c r="E38" s="43"/>
      <c r="F38" s="43"/>
      <c r="G38" s="43"/>
      <c r="H38" s="44"/>
      <c r="I38" s="13">
        <f>SUM(I4:I37)</f>
        <v>7.9900000000000038</v>
      </c>
    </row>
    <row r="39" spans="1:9" x14ac:dyDescent="0.45">
      <c r="A39" s="42" t="s">
        <v>611</v>
      </c>
      <c r="B39" s="43"/>
      <c r="C39" s="43"/>
      <c r="D39" s="43"/>
      <c r="E39" s="43"/>
      <c r="F39" s="43"/>
      <c r="G39" s="43"/>
      <c r="H39" s="44"/>
      <c r="I39" s="13">
        <f>IF(SUM(H4:H37)=0,"",I38/SUM(H4:H37))</f>
        <v>0.87322404371584716</v>
      </c>
    </row>
    <row r="42" spans="1:9" ht="17.399999999999999" customHeight="1" x14ac:dyDescent="0.45">
      <c r="A42" s="33" t="s">
        <v>610</v>
      </c>
      <c r="B42" s="34"/>
      <c r="C42" s="34"/>
      <c r="D42" s="35"/>
    </row>
    <row r="43" spans="1:9" x14ac:dyDescent="0.45">
      <c r="A43" s="36"/>
      <c r="B43" s="37"/>
      <c r="C43" s="37"/>
      <c r="D43" s="38"/>
    </row>
    <row r="44" spans="1:9" x14ac:dyDescent="0.45">
      <c r="A44" s="12" t="s">
        <v>609</v>
      </c>
      <c r="B44" s="12" t="s">
        <v>608</v>
      </c>
      <c r="C44" s="12" t="s">
        <v>607</v>
      </c>
      <c r="D44" s="12" t="s">
        <v>606</v>
      </c>
    </row>
    <row r="45" spans="1:9" x14ac:dyDescent="0.45">
      <c r="A45" s="1" t="s">
        <v>605</v>
      </c>
      <c r="B45" s="1" t="s">
        <v>604</v>
      </c>
      <c r="C45" s="9" t="s">
        <v>603</v>
      </c>
      <c r="D45" s="1">
        <v>5</v>
      </c>
    </row>
    <row r="46" spans="1:9" x14ac:dyDescent="0.45">
      <c r="A46" s="31"/>
      <c r="B46" s="31"/>
      <c r="C46" s="9" t="s">
        <v>602</v>
      </c>
      <c r="D46" s="31"/>
    </row>
    <row r="47" spans="1:9" x14ac:dyDescent="0.45">
      <c r="A47" s="31"/>
      <c r="B47" s="31"/>
      <c r="C47" s="9" t="s">
        <v>601</v>
      </c>
      <c r="D47" s="31"/>
    </row>
    <row r="48" spans="1:9" x14ac:dyDescent="0.45">
      <c r="A48" s="31"/>
      <c r="B48" s="31"/>
      <c r="C48" s="9" t="s">
        <v>600</v>
      </c>
      <c r="D48" s="31"/>
    </row>
    <row r="49" spans="1:4" x14ac:dyDescent="0.45">
      <c r="A49" s="31"/>
      <c r="B49" s="32"/>
      <c r="C49" s="9" t="s">
        <v>599</v>
      </c>
      <c r="D49" s="32"/>
    </row>
    <row r="50" spans="1:4" x14ac:dyDescent="0.45">
      <c r="A50" s="31"/>
      <c r="B50" s="1" t="s">
        <v>598</v>
      </c>
      <c r="C50" s="9" t="s">
        <v>597</v>
      </c>
      <c r="D50" s="1">
        <v>2</v>
      </c>
    </row>
    <row r="51" spans="1:4" x14ac:dyDescent="0.45">
      <c r="A51" s="31"/>
      <c r="B51" s="31"/>
      <c r="C51" s="9" t="s">
        <v>596</v>
      </c>
      <c r="D51" s="31"/>
    </row>
    <row r="52" spans="1:4" x14ac:dyDescent="0.45">
      <c r="A52" s="31"/>
      <c r="B52" s="32"/>
      <c r="C52" s="9" t="s">
        <v>595</v>
      </c>
      <c r="D52" s="32"/>
    </row>
    <row r="53" spans="1:4" x14ac:dyDescent="0.45">
      <c r="A53" s="31"/>
      <c r="B53" s="1" t="s">
        <v>594</v>
      </c>
      <c r="C53" s="9" t="s">
        <v>593</v>
      </c>
      <c r="D53" s="1">
        <v>3</v>
      </c>
    </row>
    <row r="54" spans="1:4" x14ac:dyDescent="0.45">
      <c r="A54" s="31"/>
      <c r="B54" s="31"/>
      <c r="C54" s="9" t="s">
        <v>592</v>
      </c>
      <c r="D54" s="31"/>
    </row>
    <row r="55" spans="1:4" x14ac:dyDescent="0.45">
      <c r="A55" s="31"/>
      <c r="B55" s="31"/>
      <c r="C55" s="9" t="s">
        <v>591</v>
      </c>
      <c r="D55" s="31"/>
    </row>
    <row r="56" spans="1:4" x14ac:dyDescent="0.45">
      <c r="A56" s="31"/>
      <c r="B56" s="32"/>
      <c r="C56" s="9" t="s">
        <v>590</v>
      </c>
      <c r="D56" s="32"/>
    </row>
    <row r="57" spans="1:4" x14ac:dyDescent="0.45">
      <c r="A57" s="31"/>
      <c r="B57" s="1" t="s">
        <v>589</v>
      </c>
      <c r="C57" s="9" t="s">
        <v>588</v>
      </c>
      <c r="D57" s="1">
        <v>4</v>
      </c>
    </row>
    <row r="58" spans="1:4" x14ac:dyDescent="0.45">
      <c r="A58" s="31"/>
      <c r="B58" s="31"/>
      <c r="C58" s="9" t="s">
        <v>587</v>
      </c>
      <c r="D58" s="31"/>
    </row>
    <row r="59" spans="1:4" x14ac:dyDescent="0.45">
      <c r="A59" s="31"/>
      <c r="B59" s="32"/>
      <c r="C59" s="9" t="s">
        <v>586</v>
      </c>
      <c r="D59" s="32"/>
    </row>
    <row r="60" spans="1:4" x14ac:dyDescent="0.45">
      <c r="A60" s="31"/>
      <c r="B60" s="1" t="s">
        <v>585</v>
      </c>
      <c r="C60" s="9" t="s">
        <v>584</v>
      </c>
      <c r="D60" s="1">
        <v>4</v>
      </c>
    </row>
    <row r="61" spans="1:4" x14ac:dyDescent="0.45">
      <c r="A61" s="31"/>
      <c r="B61" s="31"/>
      <c r="C61" s="9" t="s">
        <v>583</v>
      </c>
      <c r="D61" s="31"/>
    </row>
    <row r="62" spans="1:4" x14ac:dyDescent="0.45">
      <c r="A62" s="31"/>
      <c r="B62" s="31"/>
      <c r="C62" s="9" t="s">
        <v>582</v>
      </c>
      <c r="D62" s="31"/>
    </row>
    <row r="63" spans="1:4" x14ac:dyDescent="0.45">
      <c r="A63" s="31"/>
      <c r="B63" s="32"/>
      <c r="C63" s="9" t="s">
        <v>581</v>
      </c>
      <c r="D63" s="32"/>
    </row>
    <row r="64" spans="1:4" x14ac:dyDescent="0.45">
      <c r="A64" s="31"/>
      <c r="B64" s="1" t="s">
        <v>580</v>
      </c>
      <c r="C64" s="9" t="s">
        <v>579</v>
      </c>
      <c r="D64" s="1">
        <v>3</v>
      </c>
    </row>
    <row r="65" spans="1:4" x14ac:dyDescent="0.45">
      <c r="A65" s="31"/>
      <c r="B65" s="31"/>
      <c r="C65" s="9" t="s">
        <v>578</v>
      </c>
      <c r="D65" s="31"/>
    </row>
    <row r="66" spans="1:4" x14ac:dyDescent="0.45">
      <c r="A66" s="32"/>
      <c r="B66" s="32"/>
      <c r="C66" s="9" t="s">
        <v>577</v>
      </c>
      <c r="D66" s="32"/>
    </row>
    <row r="67" spans="1:4" x14ac:dyDescent="0.45">
      <c r="A67" s="45" t="s">
        <v>538</v>
      </c>
      <c r="B67" s="46"/>
      <c r="C67" s="47"/>
      <c r="D67" s="11">
        <f>(SUM(D44:D65)/6)*5</f>
        <v>17.5</v>
      </c>
    </row>
    <row r="68" spans="1:4" x14ac:dyDescent="0.45">
      <c r="A68" s="1" t="s">
        <v>576</v>
      </c>
      <c r="B68" s="1" t="s">
        <v>575</v>
      </c>
      <c r="C68" s="9" t="s">
        <v>567</v>
      </c>
      <c r="D68" s="1">
        <v>2</v>
      </c>
    </row>
    <row r="69" spans="1:4" x14ac:dyDescent="0.45">
      <c r="A69" s="31"/>
      <c r="B69" s="32"/>
      <c r="C69" s="9" t="s">
        <v>574</v>
      </c>
      <c r="D69" s="32"/>
    </row>
    <row r="70" spans="1:4" x14ac:dyDescent="0.45">
      <c r="A70" s="31"/>
      <c r="B70" s="1" t="s">
        <v>573</v>
      </c>
      <c r="C70" s="9" t="s">
        <v>567</v>
      </c>
      <c r="D70" s="1">
        <v>2</v>
      </c>
    </row>
    <row r="71" spans="1:4" x14ac:dyDescent="0.45">
      <c r="A71" s="31"/>
      <c r="B71" s="32"/>
      <c r="C71" s="9" t="s">
        <v>572</v>
      </c>
      <c r="D71" s="32"/>
    </row>
    <row r="72" spans="1:4" x14ac:dyDescent="0.45">
      <c r="A72" s="31"/>
      <c r="B72" s="1" t="s">
        <v>571</v>
      </c>
      <c r="C72" s="9" t="s">
        <v>570</v>
      </c>
      <c r="D72" s="1">
        <v>2</v>
      </c>
    </row>
    <row r="73" spans="1:4" x14ac:dyDescent="0.45">
      <c r="A73" s="31"/>
      <c r="B73" s="32"/>
      <c r="C73" s="9" t="s">
        <v>569</v>
      </c>
      <c r="D73" s="32"/>
    </row>
    <row r="74" spans="1:4" x14ac:dyDescent="0.45">
      <c r="A74" s="31"/>
      <c r="B74" s="1" t="s">
        <v>568</v>
      </c>
      <c r="C74" s="9" t="s">
        <v>567</v>
      </c>
      <c r="D74" s="1">
        <v>2</v>
      </c>
    </row>
    <row r="75" spans="1:4" x14ac:dyDescent="0.45">
      <c r="A75" s="32"/>
      <c r="B75" s="32"/>
      <c r="C75" s="9" t="s">
        <v>566</v>
      </c>
      <c r="D75" s="32"/>
    </row>
    <row r="76" spans="1:4" x14ac:dyDescent="0.45">
      <c r="A76" s="45" t="s">
        <v>538</v>
      </c>
      <c r="B76" s="46"/>
      <c r="C76" s="47"/>
      <c r="D76" s="11">
        <f>(SUM(D68:D75)/4)*5</f>
        <v>10</v>
      </c>
    </row>
    <row r="77" spans="1:4" x14ac:dyDescent="0.45">
      <c r="A77" s="1" t="s">
        <v>565</v>
      </c>
      <c r="B77" s="1" t="s">
        <v>564</v>
      </c>
      <c r="C77" s="9" t="s">
        <v>563</v>
      </c>
      <c r="D77" s="1">
        <v>3</v>
      </c>
    </row>
    <row r="78" spans="1:4" x14ac:dyDescent="0.45">
      <c r="A78" s="31"/>
      <c r="B78" s="31"/>
      <c r="C78" s="9" t="s">
        <v>562</v>
      </c>
      <c r="D78" s="31"/>
    </row>
    <row r="79" spans="1:4" x14ac:dyDescent="0.45">
      <c r="A79" s="31"/>
      <c r="B79" s="32"/>
      <c r="C79" s="9" t="s">
        <v>561</v>
      </c>
      <c r="D79" s="32"/>
    </row>
    <row r="80" spans="1:4" x14ac:dyDescent="0.45">
      <c r="A80" s="31"/>
      <c r="B80" s="1" t="s">
        <v>560</v>
      </c>
      <c r="C80" s="9" t="s">
        <v>559</v>
      </c>
      <c r="D80" s="1">
        <v>4</v>
      </c>
    </row>
    <row r="81" spans="1:4" x14ac:dyDescent="0.45">
      <c r="A81" s="31"/>
      <c r="B81" s="31"/>
      <c r="C81" s="9" t="s">
        <v>558</v>
      </c>
      <c r="D81" s="31"/>
    </row>
    <row r="82" spans="1:4" x14ac:dyDescent="0.45">
      <c r="A82" s="31"/>
      <c r="B82" s="31"/>
      <c r="C82" s="9" t="s">
        <v>557</v>
      </c>
      <c r="D82" s="31"/>
    </row>
    <row r="83" spans="1:4" x14ac:dyDescent="0.45">
      <c r="A83" s="31"/>
      <c r="B83" s="32"/>
      <c r="C83" s="9" t="s">
        <v>556</v>
      </c>
      <c r="D83" s="32"/>
    </row>
    <row r="84" spans="1:4" x14ac:dyDescent="0.45">
      <c r="A84" s="31"/>
      <c r="B84" s="1" t="s">
        <v>555</v>
      </c>
      <c r="C84" s="9" t="s">
        <v>554</v>
      </c>
      <c r="D84" s="1">
        <v>3</v>
      </c>
    </row>
    <row r="85" spans="1:4" x14ac:dyDescent="0.45">
      <c r="A85" s="31"/>
      <c r="B85" s="31"/>
      <c r="C85" s="9" t="s">
        <v>553</v>
      </c>
      <c r="D85" s="31"/>
    </row>
    <row r="86" spans="1:4" x14ac:dyDescent="0.45">
      <c r="A86" s="31"/>
      <c r="B86" s="32"/>
      <c r="C86" s="9" t="s">
        <v>552</v>
      </c>
      <c r="D86" s="32"/>
    </row>
    <row r="87" spans="1:4" x14ac:dyDescent="0.45">
      <c r="A87" s="31"/>
      <c r="B87" s="1" t="s">
        <v>551</v>
      </c>
      <c r="C87" s="9" t="s">
        <v>550</v>
      </c>
      <c r="D87" s="1">
        <v>3</v>
      </c>
    </row>
    <row r="88" spans="1:4" x14ac:dyDescent="0.45">
      <c r="A88" s="31"/>
      <c r="B88" s="31"/>
      <c r="C88" s="9" t="s">
        <v>549</v>
      </c>
      <c r="D88" s="31"/>
    </row>
    <row r="89" spans="1:4" x14ac:dyDescent="0.45">
      <c r="A89" s="31"/>
      <c r="B89" s="32"/>
      <c r="C89" s="9" t="s">
        <v>548</v>
      </c>
      <c r="D89" s="32"/>
    </row>
    <row r="90" spans="1:4" x14ac:dyDescent="0.45">
      <c r="A90" s="31"/>
      <c r="B90" s="1" t="s">
        <v>547</v>
      </c>
      <c r="C90" s="9" t="s">
        <v>546</v>
      </c>
      <c r="D90" s="1">
        <v>1</v>
      </c>
    </row>
    <row r="91" spans="1:4" x14ac:dyDescent="0.45">
      <c r="A91" s="31"/>
      <c r="B91" s="31"/>
      <c r="C91" s="9" t="s">
        <v>545</v>
      </c>
      <c r="D91" s="31"/>
    </row>
    <row r="92" spans="1:4" x14ac:dyDescent="0.45">
      <c r="A92" s="31"/>
      <c r="B92" s="31"/>
      <c r="C92" s="9" t="s">
        <v>544</v>
      </c>
      <c r="D92" s="31"/>
    </row>
    <row r="93" spans="1:4" x14ac:dyDescent="0.45">
      <c r="A93" s="31"/>
      <c r="B93" s="32"/>
      <c r="C93" s="9" t="s">
        <v>543</v>
      </c>
      <c r="D93" s="32"/>
    </row>
    <row r="94" spans="1:4" x14ac:dyDescent="0.45">
      <c r="A94" s="31"/>
      <c r="B94" s="1" t="s">
        <v>542</v>
      </c>
      <c r="C94" s="9" t="s">
        <v>541</v>
      </c>
      <c r="D94" s="1">
        <v>1</v>
      </c>
    </row>
    <row r="95" spans="1:4" x14ac:dyDescent="0.45">
      <c r="A95" s="31"/>
      <c r="B95" s="31"/>
      <c r="C95" s="9" t="s">
        <v>540</v>
      </c>
      <c r="D95" s="31"/>
    </row>
    <row r="96" spans="1:4" x14ac:dyDescent="0.45">
      <c r="A96" s="32"/>
      <c r="B96" s="32"/>
      <c r="C96" s="9" t="s">
        <v>539</v>
      </c>
      <c r="D96" s="32"/>
    </row>
    <row r="97" spans="1:4" x14ac:dyDescent="0.45">
      <c r="A97" s="45" t="s">
        <v>538</v>
      </c>
      <c r="B97" s="46"/>
      <c r="C97" s="47"/>
      <c r="D97" s="11">
        <f>(SUM(D77:D96)/6)*5</f>
        <v>12.5</v>
      </c>
    </row>
    <row r="98" spans="1:4" x14ac:dyDescent="0.45">
      <c r="A98" s="42" t="s">
        <v>537</v>
      </c>
      <c r="B98" s="43"/>
      <c r="C98" s="44"/>
      <c r="D98" s="10">
        <f>SUM(D97,D76,D67)</f>
        <v>40</v>
      </c>
    </row>
    <row r="99" spans="1:4" x14ac:dyDescent="0.45">
      <c r="A99" s="48" t="s">
        <v>536</v>
      </c>
      <c r="B99" s="49"/>
      <c r="C99" s="50"/>
      <c r="D99" s="9">
        <f>D98/50</f>
        <v>0.8</v>
      </c>
    </row>
  </sheetData>
  <mergeCells count="47">
    <mergeCell ref="D87:D89"/>
    <mergeCell ref="A97:C97"/>
    <mergeCell ref="A98:C98"/>
    <mergeCell ref="A99:C99"/>
    <mergeCell ref="A76:C76"/>
    <mergeCell ref="A77:A96"/>
    <mergeCell ref="B77:B79"/>
    <mergeCell ref="B90:B93"/>
    <mergeCell ref="D90:D93"/>
    <mergeCell ref="B94:B96"/>
    <mergeCell ref="D94:D96"/>
    <mergeCell ref="A67:C67"/>
    <mergeCell ref="A68:A75"/>
    <mergeCell ref="B68:B69"/>
    <mergeCell ref="D68:D69"/>
    <mergeCell ref="B70:B71"/>
    <mergeCell ref="D70:D71"/>
    <mergeCell ref="B72:B73"/>
    <mergeCell ref="D77:D79"/>
    <mergeCell ref="B80:B83"/>
    <mergeCell ref="D80:D83"/>
    <mergeCell ref="B84:B86"/>
    <mergeCell ref="D84:D86"/>
    <mergeCell ref="B87:B89"/>
    <mergeCell ref="D72:D73"/>
    <mergeCell ref="B74:B75"/>
    <mergeCell ref="D74:D75"/>
    <mergeCell ref="A39:H39"/>
    <mergeCell ref="A42:D43"/>
    <mergeCell ref="A45:A66"/>
    <mergeCell ref="B45:B49"/>
    <mergeCell ref="D45:D49"/>
    <mergeCell ref="B50:B52"/>
    <mergeCell ref="D50:D52"/>
    <mergeCell ref="B64:B66"/>
    <mergeCell ref="D64:D66"/>
    <mergeCell ref="A1:I2"/>
    <mergeCell ref="A4:A21"/>
    <mergeCell ref="A23:A28"/>
    <mergeCell ref="A29:A37"/>
    <mergeCell ref="A38:H38"/>
    <mergeCell ref="B53:B56"/>
    <mergeCell ref="D53:D56"/>
    <mergeCell ref="B57:B59"/>
    <mergeCell ref="D57:D59"/>
    <mergeCell ref="B60:B63"/>
    <mergeCell ref="D60:D63"/>
  </mergeCells>
  <phoneticPr fontId="1" type="noConversion"/>
  <conditionalFormatting sqref="A3:I4 B5:E21 F5:I37 A22:E23 B24:E28 A29:E29 B30:E37 A38 I38">
    <cfRule type="notContainsErrors" dxfId="0" priority="1">
      <formula>NOT(ISERROR(A3))</formula>
    </cfRule>
  </conditionalFormatting>
  <dataValidations count="2">
    <dataValidation type="whole" allowBlank="1" showInputMessage="1" showErrorMessage="1" errorTitle="입력 오류" error="1~5 사이 정수만 입력하세요." promptTitle="점수 입력" prompt="1~5 사이 정수" sqref="F4:F37" xr:uid="{00000000-0002-0000-0500-000001000000}">
      <formula1>1</formula1>
      <formula2>5</formula2>
    </dataValidation>
    <dataValidation type="list" allowBlank="1" showInputMessage="1" showErrorMessage="1" promptTitle="부정/긍정" prompt="“+” 또는 “-” 선택" sqref="D4:D37" xr:uid="{00000000-0002-0000-0500-000000000000}">
      <formula1>"+,-"</formula1>
    </dataValidation>
  </dataValidations>
  <pageMargins left="0.69972223043441772" right="0.69972223043441772" top="0.75" bottom="0.75" header="0.30000001192092896" footer="0.30000001192092896"/>
  <pageSetup paperSize="9" fitToWidth="0" fitToHeight="0"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F6D2-DE1D-404B-9F33-449CFBCFFC34}">
  <sheetPr>
    <tabColor theme="1" tint="0.499984740745262"/>
  </sheetPr>
  <dimension ref="A1:B1"/>
  <sheetViews>
    <sheetView zoomScaleNormal="100" zoomScaleSheetLayoutView="100" workbookViewId="0">
      <selection activeCell="B1" sqref="B1"/>
    </sheetView>
  </sheetViews>
  <sheetFormatPr defaultColWidth="8.83203125" defaultRowHeight="17" x14ac:dyDescent="0.45"/>
  <cols>
    <col min="1" max="2" width="8.83203125" style="6" bestFit="1" customWidth="1"/>
    <col min="3" max="16384" width="8.83203125" style="6"/>
  </cols>
  <sheetData>
    <row r="1" spans="1:2" x14ac:dyDescent="0.45">
      <c r="A1" s="19" t="s">
        <v>702</v>
      </c>
      <c r="B1" s="13">
        <f>AVERAGE(AssetStart:AssetEnd!L1)</f>
        <v>0.86060109289617492</v>
      </c>
    </row>
  </sheetData>
  <phoneticPr fontId="1" type="noConversion"/>
  <pageMargins left="0.74805557727813721" right="0.74805557727813721" top="0.98430556058883667" bottom="0.98430556058883667" header="0.51138889789581299" footer="0.51138889789581299"/>
  <pageSetup paperSize="9" fitToWidth="0" fitToHeight="0"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C737-62BE-4A1D-B065-17E57955BD0C}">
  <sheetPr>
    <tabColor theme="1" tint="0.499984740745262"/>
  </sheetPr>
  <dimension ref="A1:L7"/>
  <sheetViews>
    <sheetView tabSelected="1" zoomScaleNormal="100" zoomScaleSheetLayoutView="100" workbookViewId="0">
      <selection activeCell="B1" sqref="B1"/>
    </sheetView>
  </sheetViews>
  <sheetFormatPr defaultColWidth="8.83203125" defaultRowHeight="17" x14ac:dyDescent="0.45"/>
  <cols>
    <col min="1" max="1" width="42.58203125" style="6" customWidth="1"/>
    <col min="2" max="2" width="13.5" style="6" customWidth="1"/>
    <col min="3" max="4" width="8.83203125" style="6"/>
    <col min="5" max="5" width="11.6640625" style="6" customWidth="1"/>
    <col min="6" max="8" width="8.83203125" style="6"/>
    <col min="9" max="9" width="13.33203125" style="6" customWidth="1"/>
    <col min="10" max="10" width="11" style="6" customWidth="1"/>
    <col min="11" max="11" width="25.58203125" style="6" customWidth="1"/>
    <col min="12" max="12" width="28.1640625" style="6" customWidth="1"/>
    <col min="13" max="16384" width="8.83203125" style="6"/>
  </cols>
  <sheetData>
    <row r="1" spans="1:12" x14ac:dyDescent="0.45">
      <c r="A1" s="28" t="s">
        <v>718</v>
      </c>
      <c r="B1" s="27">
        <f>ROUND( PillarSummary!B9 / ( PillarSummary!B9 + AssetEnd!B1 ), 2 )</f>
        <v>0.52</v>
      </c>
      <c r="H1" s="51" t="s">
        <v>719</v>
      </c>
      <c r="I1" s="52"/>
      <c r="J1" s="52"/>
      <c r="K1" s="52"/>
      <c r="L1" s="53"/>
    </row>
    <row r="2" spans="1:12" x14ac:dyDescent="0.45">
      <c r="H2" s="29"/>
      <c r="I2" s="26"/>
      <c r="J2" s="25"/>
      <c r="K2" s="24"/>
      <c r="L2" s="23"/>
    </row>
    <row r="3" spans="1:12" x14ac:dyDescent="0.45">
      <c r="I3" s="22" t="s">
        <v>717</v>
      </c>
      <c r="J3" s="22" t="s">
        <v>716</v>
      </c>
      <c r="K3" s="22" t="s">
        <v>715</v>
      </c>
      <c r="L3" s="23"/>
    </row>
    <row r="4" spans="1:12" ht="32.75" customHeight="1" x14ac:dyDescent="0.45">
      <c r="A4" s="30"/>
      <c r="B4" s="30"/>
      <c r="C4" s="30"/>
      <c r="D4" s="30"/>
      <c r="E4" s="30"/>
      <c r="I4" s="22" t="s">
        <v>714</v>
      </c>
      <c r="J4" s="21" t="s">
        <v>713</v>
      </c>
      <c r="K4" s="20" t="s">
        <v>712</v>
      </c>
      <c r="L4" s="23"/>
    </row>
    <row r="5" spans="1:12" ht="34" x14ac:dyDescent="0.45">
      <c r="I5" s="22" t="s">
        <v>711</v>
      </c>
      <c r="J5" s="21" t="s">
        <v>710</v>
      </c>
      <c r="K5" s="20" t="s">
        <v>709</v>
      </c>
      <c r="L5" s="23"/>
    </row>
    <row r="6" spans="1:12" ht="34" x14ac:dyDescent="0.45">
      <c r="I6" s="22" t="s">
        <v>708</v>
      </c>
      <c r="J6" s="21" t="s">
        <v>707</v>
      </c>
      <c r="K6" s="20" t="s">
        <v>706</v>
      </c>
    </row>
    <row r="7" spans="1:12" ht="34" x14ac:dyDescent="0.45">
      <c r="I7" s="22" t="s">
        <v>705</v>
      </c>
      <c r="J7" s="21" t="s">
        <v>704</v>
      </c>
      <c r="K7" s="20" t="s">
        <v>703</v>
      </c>
    </row>
  </sheetData>
  <mergeCells count="1">
    <mergeCell ref="H1:L1"/>
  </mergeCells>
  <phoneticPr fontId="1" type="noConversion"/>
  <pageMargins left="0.74805557727813721" right="0.74805557727813721" top="0.98430556058883667" bottom="0.98430556058883667" header="0.51138889789581299" footer="0.51138889789581299"/>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Checklist</vt:lpstr>
      <vt:lpstr>SubFunctionSummary</vt:lpstr>
      <vt:lpstr>FunctionSummary</vt:lpstr>
      <vt:lpstr>PillarSummary</vt:lpstr>
      <vt:lpstr>AssetStart</vt:lpstr>
      <vt:lpstr>Asset</vt:lpstr>
      <vt:lpstr>Asset (2)</vt:lpstr>
      <vt:lpstr>AssetEnd</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안현선</cp:lastModifiedBy>
  <dcterms:created xsi:type="dcterms:W3CDTF">2025-11-17T13:16:48Z</dcterms:created>
  <dcterms:modified xsi:type="dcterms:W3CDTF">2025-11-22T13:06:41Z</dcterms:modified>
</cp:coreProperties>
</file>